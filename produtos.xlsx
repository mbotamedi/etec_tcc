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activeX/activeX27.xml" ContentType="application/vnd.ms-office.activeX+xml"/>
  <Override PartName="/xl/activeX/activeX28.xml" ContentType="application/vnd.ms-office.activeX+xml"/>
  <Override PartName="/xl/activeX/activeX29.xml" ContentType="application/vnd.ms-office.activeX+xml"/>
  <Override PartName="/xl/activeX/activeX30.xml" ContentType="application/vnd.ms-office.activeX+xml"/>
  <Override PartName="/xl/activeX/activeX31.xml" ContentType="application/vnd.ms-office.activeX+xml"/>
  <Override PartName="/xl/activeX/activeX32.xml" ContentType="application/vnd.ms-office.activeX+xml"/>
  <Override PartName="/xl/activeX/activeX33.xml" ContentType="application/vnd.ms-office.activeX+xml"/>
  <Override PartName="/xl/activeX/activeX34.xml" ContentType="application/vnd.ms-office.activeX+xml"/>
  <Override PartName="/xl/activeX/activeX35.xml" ContentType="application/vnd.ms-office.activeX+xml"/>
  <Override PartName="/xl/activeX/activeX36.xml" ContentType="application/vnd.ms-office.activeX+xml"/>
  <Override PartName="/xl/activeX/activeX37.xml" ContentType="application/vnd.ms-office.activeX+xml"/>
  <Override PartName="/xl/activeX/activeX38.xml" ContentType="application/vnd.ms-office.activeX+xml"/>
  <Override PartName="/xl/activeX/activeX39.xml" ContentType="application/vnd.ms-office.activeX+xml"/>
  <Override PartName="/xl/activeX/activeX40.xml" ContentType="application/vnd.ms-office.activeX+xml"/>
  <Override PartName="/xl/activeX/activeX4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amp64\www\etec_tcc\"/>
    </mc:Choice>
  </mc:AlternateContent>
  <xr:revisionPtr revIDLastSave="0" documentId="13_ncr:1_{12A96071-859D-46CB-9F07-B5DB258F4605}" xr6:coauthVersionLast="47" xr6:coauthVersionMax="47" xr10:uidLastSave="{00000000-0000-0000-0000-000000000000}"/>
  <bookViews>
    <workbookView xWindow="-120" yWindow="-120" windowWidth="20730" windowHeight="11040" xr2:uid="{29DAC051-F374-477C-A375-0284E39B7C14}"/>
  </bookViews>
  <sheets>
    <sheet name="Planilha3" sheetId="3" r:id="rId1"/>
    <sheet name="Planilha1" sheetId="4" r:id="rId2"/>
  </sheets>
  <definedNames>
    <definedName name="_xlnm._FilterDatabase" localSheetId="0" hidden="1">Planilha3!$A$1:$Q$27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22" i="3"/>
  <c r="H23" i="3"/>
  <c r="J23" i="3" s="1"/>
  <c r="H24" i="3"/>
  <c r="J24" i="3" s="1"/>
  <c r="H25" i="3"/>
  <c r="J25" i="3" s="1"/>
  <c r="H26" i="3"/>
  <c r="J26" i="3" s="1"/>
  <c r="H27" i="3"/>
  <c r="H28" i="3"/>
  <c r="J28" i="3" s="1"/>
  <c r="H29" i="3"/>
  <c r="J29" i="3" s="1"/>
  <c r="H30" i="3"/>
  <c r="J30" i="3" s="1"/>
  <c r="H31" i="3"/>
  <c r="H32" i="3"/>
  <c r="J32" i="3" s="1"/>
  <c r="H33" i="3"/>
  <c r="J33" i="3" s="1"/>
  <c r="H34" i="3"/>
  <c r="J34" i="3" s="1"/>
  <c r="H35" i="3"/>
  <c r="H36" i="3"/>
  <c r="J36" i="3" s="1"/>
  <c r="H37" i="3"/>
  <c r="J37" i="3" s="1"/>
  <c r="H38" i="3"/>
  <c r="J38" i="3" s="1"/>
  <c r="H39" i="3"/>
  <c r="H40" i="3"/>
  <c r="J40" i="3" s="1"/>
  <c r="H41" i="3"/>
  <c r="J41" i="3" s="1"/>
  <c r="H42" i="3"/>
  <c r="J42" i="3" s="1"/>
  <c r="H43" i="3"/>
  <c r="H44" i="3"/>
  <c r="J44" i="3" s="1"/>
  <c r="H45" i="3"/>
  <c r="J45" i="3" s="1"/>
  <c r="H46" i="3"/>
  <c r="J46" i="3" s="1"/>
  <c r="H47" i="3"/>
  <c r="H48" i="3"/>
  <c r="J48" i="3" s="1"/>
  <c r="H49" i="3"/>
  <c r="J49" i="3" s="1"/>
  <c r="H50" i="3"/>
  <c r="J50" i="3" s="1"/>
  <c r="H51" i="3"/>
  <c r="H52" i="3"/>
  <c r="J52" i="3" s="1"/>
  <c r="H53" i="3"/>
  <c r="J53" i="3" s="1"/>
  <c r="H54" i="3"/>
  <c r="J54" i="3" s="1"/>
  <c r="H55" i="3"/>
  <c r="H56" i="3"/>
  <c r="J56" i="3" s="1"/>
  <c r="H57" i="3"/>
  <c r="J57" i="3" s="1"/>
  <c r="H58" i="3"/>
  <c r="J58" i="3" s="1"/>
  <c r="H59" i="3"/>
  <c r="H60" i="3"/>
  <c r="J60" i="3" s="1"/>
  <c r="H61" i="3"/>
  <c r="J61" i="3" s="1"/>
  <c r="H62" i="3"/>
  <c r="J62" i="3" s="1"/>
  <c r="H63" i="3"/>
  <c r="H64" i="3"/>
  <c r="J64" i="3" s="1"/>
  <c r="H65" i="3"/>
  <c r="J65" i="3" s="1"/>
  <c r="H66" i="3"/>
  <c r="J66" i="3" s="1"/>
  <c r="H67" i="3"/>
  <c r="H68" i="3"/>
  <c r="J68" i="3" s="1"/>
  <c r="H69" i="3"/>
  <c r="J69" i="3" s="1"/>
  <c r="H70" i="3"/>
  <c r="J70" i="3" s="1"/>
  <c r="H71" i="3"/>
  <c r="H72" i="3"/>
  <c r="J72" i="3" s="1"/>
  <c r="H73" i="3"/>
  <c r="J73" i="3" s="1"/>
  <c r="H22" i="3"/>
  <c r="J22" i="3" s="1"/>
  <c r="J18" i="3"/>
  <c r="J19" i="3"/>
  <c r="J20" i="3"/>
  <c r="J2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2" i="3"/>
  <c r="J67" i="3" l="1"/>
  <c r="J59" i="3"/>
  <c r="J47" i="3"/>
  <c r="J35" i="3"/>
  <c r="J27" i="3"/>
  <c r="J71" i="3"/>
  <c r="J63" i="3"/>
  <c r="J55" i="3"/>
  <c r="J51" i="3"/>
  <c r="J43" i="3"/>
  <c r="J39" i="3"/>
  <c r="J31" i="3"/>
</calcChain>
</file>

<file path=xl/sharedStrings.xml><?xml version="1.0" encoding="utf-8"?>
<sst xmlns="http://schemas.openxmlformats.org/spreadsheetml/2006/main" count="449" uniqueCount="282">
  <si>
    <t>Salgadinho de Queijo</t>
  </si>
  <si>
    <t>Salgadinho assado recheado com queijo</t>
  </si>
  <si>
    <t>7.50</t>
  </si>
  <si>
    <t>../img/salgadinho-queijo.jpg</t>
  </si>
  <si>
    <t>img/salgadinho-queijo.jpg</t>
  </si>
  <si>
    <t>Coxinha</t>
  </si>
  <si>
    <t>Coxinha de frango</t>
  </si>
  <si>
    <t>4.00</t>
  </si>
  <si>
    <t>../img/coxinha.jpg</t>
  </si>
  <si>
    <t>img/coxinha.jpg</t>
  </si>
  <si>
    <t>Pastel</t>
  </si>
  <si>
    <t>Pastel assado com recheio de carne</t>
  </si>
  <si>
    <t>5.00</t>
  </si>
  <si>
    <t>../img/pastel.jpg</t>
  </si>
  <si>
    <t>img/pastel.jpg</t>
  </si>
  <si>
    <t>Pão de Queijo</t>
  </si>
  <si>
    <t>Pão de queijo tradicional</t>
  </si>
  <si>
    <t>2.50</t>
  </si>
  <si>
    <t>../img/paodequeijo.jpg</t>
  </si>
  <si>
    <t>img/paodequeijo.jpg</t>
  </si>
  <si>
    <t>Suco de Laranja</t>
  </si>
  <si>
    <t>Suco natural de laranja</t>
  </si>
  <si>
    <t>6.00</t>
  </si>
  <si>
    <t>../img/suco.jpg</t>
  </si>
  <si>
    <t>img/suco.jpg</t>
  </si>
  <si>
    <t>Refrigerante</t>
  </si>
  <si>
    <t>Lata de refrigerante (350ml)</t>
  </si>
  <si>
    <t>5.50</t>
  </si>
  <si>
    <t>../img/refrigerante.jpg</t>
  </si>
  <si>
    <t>img/refrigerante.jpg</t>
  </si>
  <si>
    <t>Água Mineral</t>
  </si>
  <si>
    <t>Garrafa de água mineral (500ml)</t>
  </si>
  <si>
    <t>3.00</t>
  </si>
  <si>
    <t>../img/agua.jpg</t>
  </si>
  <si>
    <t>img/agua.jpg</t>
  </si>
  <si>
    <t>Chocolate</t>
  </si>
  <si>
    <t>4.50</t>
  </si>
  <si>
    <t>../img/chocolate.jpg</t>
  </si>
  <si>
    <t>img/chocolate.jpg</t>
  </si>
  <si>
    <t>Bala</t>
  </si>
  <si>
    <t>Bala de goma</t>
  </si>
  <si>
    <t>0.50</t>
  </si>
  <si>
    <t>../img/bala.jpg</t>
  </si>
  <si>
    <t>img/bala.jpg</t>
  </si>
  <si>
    <t>Sanduíche Natural</t>
  </si>
  <si>
    <t>Sanduíche com peito de peru e queijo</t>
  </si>
  <si>
    <t>7.00</t>
  </si>
  <si>
    <t>../img/sanduiche.jpg</t>
  </si>
  <si>
    <t>img/sanduiche.jpg</t>
  </si>
  <si>
    <t>Salada de Frutas</t>
  </si>
  <si>
    <t>Mix de frutas frescas</t>
  </si>
  <si>
    <t>6.50</t>
  </si>
  <si>
    <t>../img/saladadefrutas.jpg</t>
  </si>
  <si>
    <t>img/saladadefrutas.jpg</t>
  </si>
  <si>
    <t>Iogurte</t>
  </si>
  <si>
    <t>Iogurte natural com granola</t>
  </si>
  <si>
    <t>../img/iogurte.jpg</t>
  </si>
  <si>
    <t>img/iogurte.jpg</t>
  </si>
  <si>
    <t>Biscoito Recheado</t>
  </si>
  <si>
    <t>Pacote de biscoito recheado (130g)</t>
  </si>
  <si>
    <t>../img/nikito.jpg</t>
  </si>
  <si>
    <t>img/nikito.jpg</t>
  </si>
  <si>
    <t>Pipoca</t>
  </si>
  <si>
    <t>Pipoca doce ou salgada</t>
  </si>
  <si>
    <t>../img/pipoca.jpg</t>
  </si>
  <si>
    <t>img/pipoca.jpg</t>
  </si>
  <si>
    <t>Bolo</t>
  </si>
  <si>
    <t>Fatia de bolo de chocolate</t>
  </si>
  <si>
    <t>../img/bolo.jpg</t>
  </si>
  <si>
    <t>img/bolo.jpg</t>
  </si>
  <si>
    <t>Torta</t>
  </si>
  <si>
    <t>Fatia de torta de frango</t>
  </si>
  <si>
    <t>../img/torta.jpg</t>
  </si>
  <si>
    <t>img/torta.jpg</t>
  </si>
  <si>
    <t>Pizza</t>
  </si>
  <si>
    <t>Fatia de pizza de mussarela</t>
  </si>
  <si>
    <t>../img/pizza.jpg</t>
  </si>
  <si>
    <t>img/pizza.jpg</t>
  </si>
  <si>
    <t>Hot Dog</t>
  </si>
  <si>
    <t>Cachorro-quente simples</t>
  </si>
  <si>
    <t>../img/hotdog.jpg</t>
  </si>
  <si>
    <t>img/hotdog.jpg</t>
  </si>
  <si>
    <t>Sorvete</t>
  </si>
  <si>
    <t>Casquinha de sorvete</t>
  </si>
  <si>
    <t>../img/sorvete.jpg</t>
  </si>
  <si>
    <t>id</t>
  </si>
  <si>
    <t>descricao</t>
  </si>
  <si>
    <t>preco</t>
  </si>
  <si>
    <t>estoque</t>
  </si>
  <si>
    <t>imagem</t>
  </si>
  <si>
    <t>imagem1</t>
  </si>
  <si>
    <t>Chá Gelado</t>
  </si>
  <si>
    <t>../img/chagelado.jpg</t>
  </si>
  <si>
    <t>img/chagelado.jpg</t>
  </si>
  <si>
    <t>nome  1</t>
  </si>
  <si>
    <t>Categoria</t>
  </si>
  <si>
    <t>agua 6</t>
  </si>
  <si>
    <t>chá 7</t>
  </si>
  <si>
    <t>Chocolate 2</t>
  </si>
  <si>
    <t>doce 1</t>
  </si>
  <si>
    <t>lanche 5</t>
  </si>
  <si>
    <t>refrigerante 8</t>
  </si>
  <si>
    <t>salgado 3</t>
  </si>
  <si>
    <t>suco 4</t>
  </si>
  <si>
    <t>subcat</t>
  </si>
  <si>
    <t>Barra de chocolate ao leite 50g</t>
  </si>
  <si>
    <t>Kitcat</t>
  </si>
  <si>
    <t>8.50</t>
  </si>
  <si>
    <t>Trento Avelã</t>
  </si>
  <si>
    <t>Trento Drak</t>
  </si>
  <si>
    <t>Trento Camarelo</t>
  </si>
  <si>
    <t>Trento Morango</t>
  </si>
  <si>
    <t>Trento Cheesse Morango</t>
  </si>
  <si>
    <t>Trento Chocolate</t>
  </si>
  <si>
    <t>Trento Branco Dark</t>
  </si>
  <si>
    <t>Trento Duo</t>
  </si>
  <si>
    <t>Trento Limão</t>
  </si>
  <si>
    <t>Trento Maracujá</t>
  </si>
  <si>
    <t>Trento Milk</t>
  </si>
  <si>
    <t>Trento Trufa de Maçã</t>
  </si>
  <si>
    <t>Trento Trufa de Chocolate</t>
  </si>
  <si>
    <t>Barra Nutry Avelãs</t>
  </si>
  <si>
    <t>Barra Nutry Morango</t>
  </si>
  <si>
    <t>Barra Nutry Banana</t>
  </si>
  <si>
    <t>Barra Nutry Cajú</t>
  </si>
  <si>
    <t>Barra Nutry Cappucino</t>
  </si>
  <si>
    <t>Barra Nutry Coco</t>
  </si>
  <si>
    <t>Barra Nutry Cookies</t>
  </si>
  <si>
    <t>Barra Nutry Frutas- Vermelhas</t>
  </si>
  <si>
    <t xml:space="preserve">Biscoito  Nikito Chocolate </t>
  </si>
  <si>
    <t>Biscoito  Nikito Doce de Leite</t>
  </si>
  <si>
    <t>Biscoito  Nikito Morango</t>
  </si>
  <si>
    <t>18.00</t>
  </si>
  <si>
    <t>Tubes Fini Azedinhos</t>
  </si>
  <si>
    <t>Tubes Fini Azedinhos Furtas Silveste</t>
  </si>
  <si>
    <t>Tubes Fini Azedinhos Tutti-Frutti</t>
  </si>
  <si>
    <t>Tubes Fini Azedinhos Uva</t>
  </si>
  <si>
    <t>Melancia Azedinha Fini</t>
  </si>
  <si>
    <t>Dentaduras Fini</t>
  </si>
  <si>
    <t>Minhocas Fini</t>
  </si>
  <si>
    <t>Bala Gelatina Amoras Fini</t>
  </si>
  <si>
    <t>Bala Gelatina Beijos Fini</t>
  </si>
  <si>
    <t>Bala Gelatina Finiburguers Fini</t>
  </si>
  <si>
    <t>Bala Gelatinas Polvo Fini</t>
  </si>
  <si>
    <t>Sonho de Valsa</t>
  </si>
  <si>
    <t>Ouro Branco</t>
  </si>
  <si>
    <t>Bis Xtra</t>
  </si>
  <si>
    <t>Chá Mate Leão Limão</t>
  </si>
  <si>
    <t>Chá Mate Leão Pessego</t>
  </si>
  <si>
    <t>3.19</t>
  </si>
  <si>
    <t>Garrafa de chá gelado  Pessego (1,5l)</t>
  </si>
  <si>
    <t xml:space="preserve">../img/Aros de Morango Azedinhos 80g - Fini.jpg </t>
  </si>
  <si>
    <t xml:space="preserve">../img/Bala  Bananas fini.jpg </t>
  </si>
  <si>
    <t xml:space="preserve">../img/Bala  Escovinhas Fini.jpg </t>
  </si>
  <si>
    <t xml:space="preserve">../img/Bala Fini amora.jpg </t>
  </si>
  <si>
    <t xml:space="preserve">../img/Bala Fini banana.jpg </t>
  </si>
  <si>
    <t xml:space="preserve">../img/Bala fini tubes.jpg </t>
  </si>
  <si>
    <t xml:space="preserve">../img/Bala Gelatina Amoras Fini.jpg </t>
  </si>
  <si>
    <t xml:space="preserve">../img/bala gelatina fini.jpg </t>
  </si>
  <si>
    <t xml:space="preserve">../img/Bala Gelatina Finiburguers Fini.jpg </t>
  </si>
  <si>
    <t xml:space="preserve">../img/Bala Gelatinas Polvo 80g FINI.jpg </t>
  </si>
  <si>
    <t xml:space="preserve">../img/barra nutry avela.jpg </t>
  </si>
  <si>
    <t xml:space="preserve">../img/barra nutry banana.jpg </t>
  </si>
  <si>
    <t xml:space="preserve">../img/barra nutry caju.jpg </t>
  </si>
  <si>
    <t xml:space="preserve">../img/barra nutry cappuccino.jpg </t>
  </si>
  <si>
    <t xml:space="preserve">../img/barra nutry coco.jpg </t>
  </si>
  <si>
    <t xml:space="preserve">../img/barra nutry cookies.jpg </t>
  </si>
  <si>
    <t xml:space="preserve">../img/barra nutry frutas-vermelhas.jpg </t>
  </si>
  <si>
    <t xml:space="preserve">../img/barra nutry morango.jpg </t>
  </si>
  <si>
    <t xml:space="preserve">../img/Bis.jpeg </t>
  </si>
  <si>
    <t xml:space="preserve">../img/cha mate pessego.jpeg </t>
  </si>
  <si>
    <t xml:space="preserve">../img/fini Dentaduras.jpg </t>
  </si>
  <si>
    <t xml:space="preserve">../img/finiMinhocas.jpg </t>
  </si>
  <si>
    <t xml:space="preserve">../img/kitcat.jpg </t>
  </si>
  <si>
    <t xml:space="preserve">../img/Melancia Azedinha fini.jpg </t>
  </si>
  <si>
    <t xml:space="preserve">../img/nikito chocolate.jpeg </t>
  </si>
  <si>
    <t xml:space="preserve">../img/nikito doce leite.jpeg </t>
  </si>
  <si>
    <t xml:space="preserve">../img/nikito morango.jpeg </t>
  </si>
  <si>
    <t xml:space="preserve">../img/ouro branco.jpeg </t>
  </si>
  <si>
    <t xml:space="preserve">../img/trento avelas.jpg </t>
  </si>
  <si>
    <t xml:space="preserve">../img/trento branco-drak.jpg </t>
  </si>
  <si>
    <t xml:space="preserve">../img/trento Caramelo.jpg </t>
  </si>
  <si>
    <t xml:space="preserve">../img/trento cheese morango.jpg </t>
  </si>
  <si>
    <t xml:space="preserve">../img/trento chocolate 38.jpg </t>
  </si>
  <si>
    <t xml:space="preserve">../img/trento dark.jpg </t>
  </si>
  <si>
    <t xml:space="preserve">../img/trento duo.jpg </t>
  </si>
  <si>
    <t xml:space="preserve">../img/trento limao.jpg </t>
  </si>
  <si>
    <t xml:space="preserve">../img/trento maracuja.jpg </t>
  </si>
  <si>
    <t xml:space="preserve">../img/trento milk.jpg </t>
  </si>
  <si>
    <t xml:space="preserve">../img/trento morango.jpg </t>
  </si>
  <si>
    <t xml:space="preserve">../img/trento turfa de chocolate.jpg </t>
  </si>
  <si>
    <t xml:space="preserve">../img/tubes fini azedinhos fru_silveste.jpg </t>
  </si>
  <si>
    <t xml:space="preserve">../img/tubes fini azedinhos tuttifrutti.jpg </t>
  </si>
  <si>
    <t xml:space="preserve">../img/tubes fini azedinhos uva.jpg </t>
  </si>
  <si>
    <t xml:space="preserve">../img/tubes fini azedinhos.jpg </t>
  </si>
  <si>
    <t xml:space="preserve">../img/Barra Nutry bolo_chocolate.jpg </t>
  </si>
  <si>
    <t xml:space="preserve">../img/cha mate limão.jpeg </t>
  </si>
  <si>
    <t xml:space="preserve">../img/sonhodevalsa.jpeg </t>
  </si>
  <si>
    <t>../img/coca-cola 500ml.jpeg</t>
  </si>
  <si>
    <t>../img/coca-cola zero 500ml.jpeg</t>
  </si>
  <si>
    <t>../img/coca-cola.jpeg</t>
  </si>
  <si>
    <t>../img/coca-cola zero.jpeg</t>
  </si>
  <si>
    <t>../img/fanta.jpeg</t>
  </si>
  <si>
    <t>../img/fanta uva.jpeg</t>
  </si>
  <si>
    <t>../img/sprite.jpeg</t>
  </si>
  <si>
    <t>Coca-Cola</t>
  </si>
  <si>
    <t>Coca-Cola Zero</t>
  </si>
  <si>
    <t>Sprite</t>
  </si>
  <si>
    <t>Fanta Uva</t>
  </si>
  <si>
    <t>Fanta Laranja</t>
  </si>
  <si>
    <t>4.20</t>
  </si>
  <si>
    <t>6.99</t>
  </si>
  <si>
    <t>3.69</t>
  </si>
  <si>
    <t>3.99</t>
  </si>
  <si>
    <t>4.70</t>
  </si>
  <si>
    <t>Barra Nutry bolo_chocolate</t>
  </si>
  <si>
    <t xml:space="preserve">../img/trento trufa Maçã .jpg </t>
  </si>
  <si>
    <t>Coca-Cola 500ml</t>
  </si>
  <si>
    <t>Coca-Cola Zero 500ml</t>
  </si>
  <si>
    <t>Bala fini tubes</t>
  </si>
  <si>
    <t>Bala Fini banana</t>
  </si>
  <si>
    <t>Aros de Morango Azedinhos 80g</t>
  </si>
  <si>
    <t>Bala  Escovinhas Fini</t>
  </si>
  <si>
    <t>Trento</t>
  </si>
  <si>
    <t>Barra Nutry</t>
  </si>
  <si>
    <t>Fini</t>
  </si>
  <si>
    <t>Bombom</t>
  </si>
  <si>
    <t xml:space="preserve">img/Aros de Morango Azedinhos 80g - Fini.jpg </t>
  </si>
  <si>
    <t xml:space="preserve">img/Bala  Bananas fini.jpg </t>
  </si>
  <si>
    <t xml:space="preserve">img/Bala  Escovinhas Fini.jpg </t>
  </si>
  <si>
    <t xml:space="preserve">img/Bala Fini amora.jpg </t>
  </si>
  <si>
    <t xml:space="preserve">img/Bala Fini banana.jpg </t>
  </si>
  <si>
    <t xml:space="preserve">img/Barra Nutry bolo_chocolate.jpg </t>
  </si>
  <si>
    <t xml:space="preserve">img/Bala fini tubes.jpg </t>
  </si>
  <si>
    <t xml:space="preserve">img/Bala Gelatina Amoras Fini.jpg </t>
  </si>
  <si>
    <t xml:space="preserve">img/bala gelatina fini.jpg </t>
  </si>
  <si>
    <t xml:space="preserve">img/Bala Gelatina Finiburguers Fini.jpg </t>
  </si>
  <si>
    <t xml:space="preserve">img/Bala Gelatinas Polvo 80g FINI.jpg </t>
  </si>
  <si>
    <t xml:space="preserve">img/barra nutry avela.jpg </t>
  </si>
  <si>
    <t xml:space="preserve">img/barra nutry banana.jpg </t>
  </si>
  <si>
    <t xml:space="preserve">img/barra nutry caju.jpg </t>
  </si>
  <si>
    <t xml:space="preserve">img/barra nutry cappuccino.jpg </t>
  </si>
  <si>
    <t xml:space="preserve">img/barra nutry coco.jpg </t>
  </si>
  <si>
    <t xml:space="preserve">img/barra nutry cookies.jpg </t>
  </si>
  <si>
    <t xml:space="preserve">img/barra nutry frutas-vermelhas.jpg </t>
  </si>
  <si>
    <t xml:space="preserve">img/barra nutry morango.jpg </t>
  </si>
  <si>
    <t xml:space="preserve">img/Bis.jpeg </t>
  </si>
  <si>
    <t xml:space="preserve">img/cha mate limão.jpeg </t>
  </si>
  <si>
    <t xml:space="preserve">img/cha mate pessego.jpeg </t>
  </si>
  <si>
    <t xml:space="preserve">img/fini Dentaduras.jpg </t>
  </si>
  <si>
    <t xml:space="preserve">img/finiMinhocas.jpg </t>
  </si>
  <si>
    <t xml:space="preserve">img/kitcat.jpg </t>
  </si>
  <si>
    <t xml:space="preserve">img/Melancia Azedinha fini.jpg </t>
  </si>
  <si>
    <t xml:space="preserve">img/nikito chocolate.jpeg </t>
  </si>
  <si>
    <t xml:space="preserve">img/nikito doce leite.jpeg </t>
  </si>
  <si>
    <t xml:space="preserve">img/nikito morango.jpeg </t>
  </si>
  <si>
    <t xml:space="preserve">img/ouro branco.jpeg </t>
  </si>
  <si>
    <t xml:space="preserve">img/sonhodevalsa.jpeg </t>
  </si>
  <si>
    <t xml:space="preserve">img/trento avelas.jpg </t>
  </si>
  <si>
    <t xml:space="preserve">img/trento branco-drak.jpg </t>
  </si>
  <si>
    <t xml:space="preserve">img/trento Caramelo.jpg </t>
  </si>
  <si>
    <t xml:space="preserve">img/trento cheese morango.jpg </t>
  </si>
  <si>
    <t xml:space="preserve">img/trento chocolate 38.jpg </t>
  </si>
  <si>
    <t xml:space="preserve">img/trento dark.jpg </t>
  </si>
  <si>
    <t xml:space="preserve">img/trento duo.jpg </t>
  </si>
  <si>
    <t xml:space="preserve">img/trento limao.jpg </t>
  </si>
  <si>
    <t xml:space="preserve">img/trento maracuja.jpg </t>
  </si>
  <si>
    <t xml:space="preserve">img/trento milk.jpg </t>
  </si>
  <si>
    <t xml:space="preserve">img/trento morango.jpg </t>
  </si>
  <si>
    <t xml:space="preserve">img/trento trufa Maçã.jpg </t>
  </si>
  <si>
    <t xml:space="preserve">img/trento turfa de chocolate.jpg </t>
  </si>
  <si>
    <t xml:space="preserve">img/tubes fini azedinhos fru_silveste.jpg </t>
  </si>
  <si>
    <t xml:space="preserve">img/tubes fini azedinhos tuttifrutti.jpg </t>
  </si>
  <si>
    <t xml:space="preserve">img/tubes fini azedinhos uva.jpg </t>
  </si>
  <si>
    <t xml:space="preserve">img/tubes fini azedinhos.jpg </t>
  </si>
  <si>
    <t>img/coca-cola 500ml.jpeg</t>
  </si>
  <si>
    <t>img/coca-cola zero 500ml.jpeg</t>
  </si>
  <si>
    <t>img/coca-cola.jpeg</t>
  </si>
  <si>
    <t>img/coca-cola zero.jpeg</t>
  </si>
  <si>
    <t>img/fanta.jpeg</t>
  </si>
  <si>
    <t>img/fanta uva.jpeg</t>
  </si>
  <si>
    <t>img/sprite.jpeg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</si>
</sst>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ont="1"/>
    <xf numFmtId="0" fontId="0" fillId="4" borderId="0" xfId="0" applyFill="1"/>
    <xf numFmtId="0" fontId="0" fillId="4" borderId="0" xfId="0" applyFill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/phpmyadmin/index.php?route=/sql&amp;server=2&amp;db=bd_cantinaia&amp;table=produtos&amp;sql_query=SELECT+%2A+FROM+%60produtos%60++%0AORDER+BY+%60produtos%60.%60nome%60+ASC&amp;sql_signature=c9f0519f4bbab1651069dee64dafae6c82c139d1b3b16b4e6ba3b7fedaf7ae9b&amp;session_max_rows=25&amp;is_browse_distinct=0&amp;server=2" TargetMode="External"/><Relationship Id="rId2" Type="http://schemas.openxmlformats.org/officeDocument/2006/relationships/image" Target="../media/image2.png"/><Relationship Id="rId1" Type="http://schemas.openxmlformats.org/officeDocument/2006/relationships/hyperlink" Target="http://localhost/phpmyadmin/index.php" TargetMode="External"/><Relationship Id="rId5" Type="http://schemas.openxmlformats.org/officeDocument/2006/relationships/image" Target="../media/image4.png"/><Relationship Id="rId4" Type="http://schemas.openxmlformats.org/officeDocument/2006/relationships/image" Target="../media/image3.gi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476250</xdr:colOff>
      <xdr:row>0</xdr:row>
      <xdr:rowOff>180975</xdr:rowOff>
    </xdr:to>
    <xdr:pic>
      <xdr:nvPicPr>
        <xdr:cNvPr id="2" name="Imagem 1" descr="Textos completo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A5EC2E-8E81-56D2-9895-5CFCED0E7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762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3" name="Imagem 2" descr="Descendent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6387C7C-9364-5EE8-387D-3AB99DE7F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76200</xdr:rowOff>
        </xdr:to>
        <xdr:sp macro="" textlink="">
          <xdr:nvSpPr>
            <xdr:cNvPr id="3075" name="Control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4" name="Imagem 3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CEA1FA-5C42-0941-77D2-043D8245B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5" name="Imagem 4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20341A-56CD-B8A4-43E2-6C57F35A2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6" name="Imagem 5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C877B9-5D5F-1D27-C2B1-115C15908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257175</xdr:colOff>
          <xdr:row>2</xdr:row>
          <xdr:rowOff>76200</xdr:rowOff>
        </xdr:to>
        <xdr:sp macro="" textlink="">
          <xdr:nvSpPr>
            <xdr:cNvPr id="3079" name="Control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7" name="Imagem 6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01F848-E0F7-726E-5287-886C74EA5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8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8" name="Imagem 7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627C79-D52B-8876-0E4E-36854A2CB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28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9" name="Imagem 8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BCFE13-1F5B-9D70-D6E6-003C004FC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28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257175</xdr:colOff>
          <xdr:row>19</xdr:row>
          <xdr:rowOff>76200</xdr:rowOff>
        </xdr:to>
        <xdr:sp macro="" textlink="">
          <xdr:nvSpPr>
            <xdr:cNvPr id="3083" name="Control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0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</xdr:row>
      <xdr:rowOff>0</xdr:rowOff>
    </xdr:from>
    <xdr:to>
      <xdr:col>0</xdr:col>
      <xdr:colOff>9525</xdr:colOff>
      <xdr:row>18</xdr:row>
      <xdr:rowOff>9525</xdr:rowOff>
    </xdr:to>
    <xdr:pic>
      <xdr:nvPicPr>
        <xdr:cNvPr id="10" name="Imagem 9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10BB34-F3B2-56A2-74E2-2AB471E10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14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9525</xdr:colOff>
      <xdr:row>18</xdr:row>
      <xdr:rowOff>9525</xdr:rowOff>
    </xdr:to>
    <xdr:pic>
      <xdr:nvPicPr>
        <xdr:cNvPr id="11" name="Imagem 10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23C66-537D-1C6F-C241-2F9E474E5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14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9525</xdr:colOff>
      <xdr:row>18</xdr:row>
      <xdr:rowOff>9525</xdr:rowOff>
    </xdr:to>
    <xdr:pic>
      <xdr:nvPicPr>
        <xdr:cNvPr id="12" name="Imagem 11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0B3ACC-ADEC-432B-41A1-D9DCEA5F8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14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257175</xdr:colOff>
          <xdr:row>21</xdr:row>
          <xdr:rowOff>76200</xdr:rowOff>
        </xdr:to>
        <xdr:sp macro="" textlink="">
          <xdr:nvSpPr>
            <xdr:cNvPr id="3087" name="Control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0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</xdr:row>
      <xdr:rowOff>0</xdr:rowOff>
    </xdr:from>
    <xdr:to>
      <xdr:col>0</xdr:col>
      <xdr:colOff>9525</xdr:colOff>
      <xdr:row>20</xdr:row>
      <xdr:rowOff>9525</xdr:rowOff>
    </xdr:to>
    <xdr:pic>
      <xdr:nvPicPr>
        <xdr:cNvPr id="13" name="Imagem 12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BA3D9C-A22E-5755-A32F-7EF4216DC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00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9525</xdr:colOff>
      <xdr:row>20</xdr:row>
      <xdr:rowOff>9525</xdr:rowOff>
    </xdr:to>
    <xdr:pic>
      <xdr:nvPicPr>
        <xdr:cNvPr id="14" name="Imagem 13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48E8F7-427A-97A4-5767-0138921E4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00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9525</xdr:colOff>
      <xdr:row>20</xdr:row>
      <xdr:rowOff>9525</xdr:rowOff>
    </xdr:to>
    <xdr:pic>
      <xdr:nvPicPr>
        <xdr:cNvPr id="15" name="Imagem 14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A46492-F176-87F0-8682-C293DB9D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00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257175</xdr:colOff>
          <xdr:row>10</xdr:row>
          <xdr:rowOff>76200</xdr:rowOff>
        </xdr:to>
        <xdr:sp macro="" textlink="">
          <xdr:nvSpPr>
            <xdr:cNvPr id="3091" name="Control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0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</xdr:row>
      <xdr:rowOff>0</xdr:rowOff>
    </xdr:from>
    <xdr:to>
      <xdr:col>0</xdr:col>
      <xdr:colOff>9525</xdr:colOff>
      <xdr:row>9</xdr:row>
      <xdr:rowOff>9525</xdr:rowOff>
    </xdr:to>
    <xdr:pic>
      <xdr:nvPicPr>
        <xdr:cNvPr id="16" name="Imagem 15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C4B728-56AD-BFEC-6481-B18767B23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86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9525</xdr:colOff>
      <xdr:row>9</xdr:row>
      <xdr:rowOff>9525</xdr:rowOff>
    </xdr:to>
    <xdr:pic>
      <xdr:nvPicPr>
        <xdr:cNvPr id="17" name="Imagem 16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22F921-6677-8C02-14C1-801F29FB3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86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9525</xdr:colOff>
      <xdr:row>9</xdr:row>
      <xdr:rowOff>9525</xdr:rowOff>
    </xdr:to>
    <xdr:pic>
      <xdr:nvPicPr>
        <xdr:cNvPr id="18" name="Imagem 17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7613C6-F213-6EE7-29D7-48D63BF50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86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257175</xdr:colOff>
          <xdr:row>10</xdr:row>
          <xdr:rowOff>266700</xdr:rowOff>
        </xdr:to>
        <xdr:sp macro="" textlink="">
          <xdr:nvSpPr>
            <xdr:cNvPr id="3095" name="Control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0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</xdr:row>
      <xdr:rowOff>0</xdr:rowOff>
    </xdr:from>
    <xdr:to>
      <xdr:col>0</xdr:col>
      <xdr:colOff>9525</xdr:colOff>
      <xdr:row>10</xdr:row>
      <xdr:rowOff>9525</xdr:rowOff>
    </xdr:to>
    <xdr:pic>
      <xdr:nvPicPr>
        <xdr:cNvPr id="19" name="Imagem 18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CD62C5-373C-4A21-CE7A-22000CB99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95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9525</xdr:colOff>
      <xdr:row>10</xdr:row>
      <xdr:rowOff>9525</xdr:rowOff>
    </xdr:to>
    <xdr:pic>
      <xdr:nvPicPr>
        <xdr:cNvPr id="20" name="Imagem 19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14F262-3CD7-BF05-930E-7265B2510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295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9525</xdr:colOff>
      <xdr:row>10</xdr:row>
      <xdr:rowOff>9525</xdr:rowOff>
    </xdr:to>
    <xdr:pic>
      <xdr:nvPicPr>
        <xdr:cNvPr id="21" name="Imagem 20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311517-323C-E427-6AC4-1D345B3CC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95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257175</xdr:colOff>
          <xdr:row>13</xdr:row>
          <xdr:rowOff>266700</xdr:rowOff>
        </xdr:to>
        <xdr:sp macro="" textlink="">
          <xdr:nvSpPr>
            <xdr:cNvPr id="3099" name="Control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0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</xdr:row>
      <xdr:rowOff>0</xdr:rowOff>
    </xdr:from>
    <xdr:to>
      <xdr:col>0</xdr:col>
      <xdr:colOff>9525</xdr:colOff>
      <xdr:row>13</xdr:row>
      <xdr:rowOff>9525</xdr:rowOff>
    </xdr:to>
    <xdr:pic>
      <xdr:nvPicPr>
        <xdr:cNvPr id="22" name="Imagem 21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7F5E04-6E62-005F-60C4-8EE112530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052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9525</xdr:colOff>
      <xdr:row>13</xdr:row>
      <xdr:rowOff>9525</xdr:rowOff>
    </xdr:to>
    <xdr:pic>
      <xdr:nvPicPr>
        <xdr:cNvPr id="23" name="Imagem 22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8C953C-B246-EB1C-59DF-856F9F906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1052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9525</xdr:colOff>
      <xdr:row>13</xdr:row>
      <xdr:rowOff>9525</xdr:rowOff>
    </xdr:to>
    <xdr:pic>
      <xdr:nvPicPr>
        <xdr:cNvPr id="24" name="Imagem 23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C9604D-4A3B-C7B5-D90A-C580CEC56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052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257175</xdr:colOff>
          <xdr:row>6</xdr:row>
          <xdr:rowOff>76200</xdr:rowOff>
        </xdr:to>
        <xdr:sp macro="" textlink="">
          <xdr:nvSpPr>
            <xdr:cNvPr id="3103" name="Control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0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</xdr:row>
      <xdr:rowOff>0</xdr:rowOff>
    </xdr:from>
    <xdr:to>
      <xdr:col>0</xdr:col>
      <xdr:colOff>9525</xdr:colOff>
      <xdr:row>5</xdr:row>
      <xdr:rowOff>9525</xdr:rowOff>
    </xdr:to>
    <xdr:pic>
      <xdr:nvPicPr>
        <xdr:cNvPr id="25" name="Imagem 24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B390C6-705A-8A06-B1B3-734072344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91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9525</xdr:colOff>
      <xdr:row>5</xdr:row>
      <xdr:rowOff>9525</xdr:rowOff>
    </xdr:to>
    <xdr:pic>
      <xdr:nvPicPr>
        <xdr:cNvPr id="26" name="Imagem 25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087335-5FC8-207C-EAFB-22E3A842F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591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9525</xdr:colOff>
      <xdr:row>5</xdr:row>
      <xdr:rowOff>9525</xdr:rowOff>
    </xdr:to>
    <xdr:pic>
      <xdr:nvPicPr>
        <xdr:cNvPr id="27" name="Imagem 26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2D2311-2A15-6821-8FF7-48509B44B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591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257175</xdr:colOff>
          <xdr:row>13</xdr:row>
          <xdr:rowOff>76200</xdr:rowOff>
        </xdr:to>
        <xdr:sp macro="" textlink="">
          <xdr:nvSpPr>
            <xdr:cNvPr id="3107" name="Control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0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</xdr:row>
      <xdr:rowOff>0</xdr:rowOff>
    </xdr:from>
    <xdr:to>
      <xdr:col>0</xdr:col>
      <xdr:colOff>9525</xdr:colOff>
      <xdr:row>12</xdr:row>
      <xdr:rowOff>9525</xdr:rowOff>
    </xdr:to>
    <xdr:pic>
      <xdr:nvPicPr>
        <xdr:cNvPr id="28" name="Imagem 27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717A92-BCCB-6080-C42C-167E2014A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76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9525</xdr:colOff>
      <xdr:row>12</xdr:row>
      <xdr:rowOff>9525</xdr:rowOff>
    </xdr:to>
    <xdr:pic>
      <xdr:nvPicPr>
        <xdr:cNvPr id="29" name="Imagem 28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E4580B-C2EE-EFAF-3DD5-6F24C5432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076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9525</xdr:colOff>
      <xdr:row>12</xdr:row>
      <xdr:rowOff>9525</xdr:rowOff>
    </xdr:to>
    <xdr:pic>
      <xdr:nvPicPr>
        <xdr:cNvPr id="30" name="Imagem 29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4B9BA3-6CF4-5F6A-47E5-E60F50153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076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257175</xdr:colOff>
          <xdr:row>17</xdr:row>
          <xdr:rowOff>76200</xdr:rowOff>
        </xdr:to>
        <xdr:sp macro="" textlink="">
          <xdr:nvSpPr>
            <xdr:cNvPr id="3111" name="Control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00000000-0008-0000-0000-00002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</xdr:row>
      <xdr:rowOff>0</xdr:rowOff>
    </xdr:from>
    <xdr:to>
      <xdr:col>0</xdr:col>
      <xdr:colOff>9525</xdr:colOff>
      <xdr:row>16</xdr:row>
      <xdr:rowOff>9525</xdr:rowOff>
    </xdr:to>
    <xdr:pic>
      <xdr:nvPicPr>
        <xdr:cNvPr id="31" name="Imagem 30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AC0A51-0100-BA4E-8DF4-EB2A63D9D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2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9525</xdr:colOff>
      <xdr:row>16</xdr:row>
      <xdr:rowOff>9525</xdr:rowOff>
    </xdr:to>
    <xdr:pic>
      <xdr:nvPicPr>
        <xdr:cNvPr id="32" name="Imagem 31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2BFFCF-3190-C389-4A43-AAE0F212C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2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9525</xdr:colOff>
      <xdr:row>16</xdr:row>
      <xdr:rowOff>9525</xdr:rowOff>
    </xdr:to>
    <xdr:pic>
      <xdr:nvPicPr>
        <xdr:cNvPr id="33" name="Imagem 32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109B3C-E50C-D391-CEA5-BEBD61941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72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257175</xdr:colOff>
          <xdr:row>20</xdr:row>
          <xdr:rowOff>76200</xdr:rowOff>
        </xdr:to>
        <xdr:sp macro="" textlink="">
          <xdr:nvSpPr>
            <xdr:cNvPr id="3115" name="Control 43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0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</xdr:row>
      <xdr:rowOff>0</xdr:rowOff>
    </xdr:from>
    <xdr:to>
      <xdr:col>0</xdr:col>
      <xdr:colOff>9525</xdr:colOff>
      <xdr:row>19</xdr:row>
      <xdr:rowOff>9525</xdr:rowOff>
    </xdr:to>
    <xdr:pic>
      <xdr:nvPicPr>
        <xdr:cNvPr id="34" name="Imagem 33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FF76D7-F21C-0282-94B7-E6B351A9D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372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9525</xdr:colOff>
      <xdr:row>19</xdr:row>
      <xdr:rowOff>9525</xdr:rowOff>
    </xdr:to>
    <xdr:pic>
      <xdr:nvPicPr>
        <xdr:cNvPr id="35" name="Imagem 34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644492-7812-1E01-ED74-60E1123DC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372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9525</xdr:colOff>
      <xdr:row>19</xdr:row>
      <xdr:rowOff>9525</xdr:rowOff>
    </xdr:to>
    <xdr:pic>
      <xdr:nvPicPr>
        <xdr:cNvPr id="36" name="Imagem 35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09607A-B445-B03C-A351-4DE819104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372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257175</xdr:colOff>
          <xdr:row>18</xdr:row>
          <xdr:rowOff>76200</xdr:rowOff>
        </xdr:to>
        <xdr:sp macro="" textlink="">
          <xdr:nvSpPr>
            <xdr:cNvPr id="3119" name="Control 47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00000000-0008-0000-0000-00002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</xdr:row>
      <xdr:rowOff>0</xdr:rowOff>
    </xdr:from>
    <xdr:to>
      <xdr:col>0</xdr:col>
      <xdr:colOff>9525</xdr:colOff>
      <xdr:row>17</xdr:row>
      <xdr:rowOff>9525</xdr:rowOff>
    </xdr:to>
    <xdr:pic>
      <xdr:nvPicPr>
        <xdr:cNvPr id="37" name="Imagem 36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B895DF-56A7-F44E-7827-456CC24B9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9525</xdr:colOff>
      <xdr:row>17</xdr:row>
      <xdr:rowOff>9525</xdr:rowOff>
    </xdr:to>
    <xdr:pic>
      <xdr:nvPicPr>
        <xdr:cNvPr id="38" name="Imagem 37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728E17-1587-394E-B6E8-F147FCB75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9525</xdr:colOff>
      <xdr:row>17</xdr:row>
      <xdr:rowOff>9525</xdr:rowOff>
    </xdr:to>
    <xdr:pic>
      <xdr:nvPicPr>
        <xdr:cNvPr id="39" name="Imagem 38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12552E-B21A-2FE1-AC01-650FA420A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257175</xdr:colOff>
          <xdr:row>15</xdr:row>
          <xdr:rowOff>266700</xdr:rowOff>
        </xdr:to>
        <xdr:sp macro="" textlink="">
          <xdr:nvSpPr>
            <xdr:cNvPr id="3123" name="Control 51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00000000-0008-0000-0000-00003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</xdr:row>
      <xdr:rowOff>0</xdr:rowOff>
    </xdr:from>
    <xdr:to>
      <xdr:col>0</xdr:col>
      <xdr:colOff>9525</xdr:colOff>
      <xdr:row>15</xdr:row>
      <xdr:rowOff>9525</xdr:rowOff>
    </xdr:to>
    <xdr:pic>
      <xdr:nvPicPr>
        <xdr:cNvPr id="40" name="Imagem 39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AA7E5F-742B-0FE0-2588-37FB00332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67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9525</xdr:colOff>
      <xdr:row>15</xdr:row>
      <xdr:rowOff>9525</xdr:rowOff>
    </xdr:to>
    <xdr:pic>
      <xdr:nvPicPr>
        <xdr:cNvPr id="41" name="Imagem 40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BAD34B-ECCF-90F4-BC24-B7AE0EA56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667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9525</xdr:colOff>
      <xdr:row>15</xdr:row>
      <xdr:rowOff>9525</xdr:rowOff>
    </xdr:to>
    <xdr:pic>
      <xdr:nvPicPr>
        <xdr:cNvPr id="42" name="Imagem 41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291B8C-7C97-A8FD-5038-F3F379359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667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257175</xdr:colOff>
          <xdr:row>7</xdr:row>
          <xdr:rowOff>76200</xdr:rowOff>
        </xdr:to>
        <xdr:sp macro="" textlink="">
          <xdr:nvSpPr>
            <xdr:cNvPr id="3127" name="Control 55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00000000-0008-0000-0000-00003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</xdr:row>
      <xdr:rowOff>0</xdr:rowOff>
    </xdr:from>
    <xdr:to>
      <xdr:col>0</xdr:col>
      <xdr:colOff>9525</xdr:colOff>
      <xdr:row>6</xdr:row>
      <xdr:rowOff>9525</xdr:rowOff>
    </xdr:to>
    <xdr:pic>
      <xdr:nvPicPr>
        <xdr:cNvPr id="43" name="Imagem 42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0E2E08-5863-723D-3E02-0A70EFA97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15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9525</xdr:colOff>
      <xdr:row>6</xdr:row>
      <xdr:rowOff>9525</xdr:rowOff>
    </xdr:to>
    <xdr:pic>
      <xdr:nvPicPr>
        <xdr:cNvPr id="44" name="Imagem 43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D8657-4EEA-2ECC-C28B-F05FED566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315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9525</xdr:colOff>
      <xdr:row>6</xdr:row>
      <xdr:rowOff>9525</xdr:rowOff>
    </xdr:to>
    <xdr:pic>
      <xdr:nvPicPr>
        <xdr:cNvPr id="45" name="Imagem 44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AD4F93-E3C8-C119-058A-31340811A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315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257175</xdr:colOff>
          <xdr:row>12</xdr:row>
          <xdr:rowOff>76200</xdr:rowOff>
        </xdr:to>
        <xdr:sp macro="" textlink="">
          <xdr:nvSpPr>
            <xdr:cNvPr id="3131" name="Control 59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00000000-0008-0000-0000-00003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</xdr:row>
      <xdr:rowOff>0</xdr:rowOff>
    </xdr:from>
    <xdr:to>
      <xdr:col>0</xdr:col>
      <xdr:colOff>9525</xdr:colOff>
      <xdr:row>11</xdr:row>
      <xdr:rowOff>9525</xdr:rowOff>
    </xdr:to>
    <xdr:pic>
      <xdr:nvPicPr>
        <xdr:cNvPr id="46" name="Imagem 45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4A220F-9242-E330-9761-2C113E03C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801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</xdr:colOff>
      <xdr:row>11</xdr:row>
      <xdr:rowOff>9525</xdr:rowOff>
    </xdr:to>
    <xdr:pic>
      <xdr:nvPicPr>
        <xdr:cNvPr id="47" name="Imagem 46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F86732-2486-9E0E-701F-E81F0A18B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801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</xdr:colOff>
      <xdr:row>11</xdr:row>
      <xdr:rowOff>9525</xdr:rowOff>
    </xdr:to>
    <xdr:pic>
      <xdr:nvPicPr>
        <xdr:cNvPr id="48" name="Imagem 47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46821D-E137-EF5A-0D5C-77C351A9C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801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257175</xdr:colOff>
          <xdr:row>15</xdr:row>
          <xdr:rowOff>76200</xdr:rowOff>
        </xdr:to>
        <xdr:sp macro="" textlink="">
          <xdr:nvSpPr>
            <xdr:cNvPr id="3135" name="Control 63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00000000-0008-0000-0000-00003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</xdr:row>
      <xdr:rowOff>0</xdr:rowOff>
    </xdr:from>
    <xdr:to>
      <xdr:col>0</xdr:col>
      <xdr:colOff>9525</xdr:colOff>
      <xdr:row>14</xdr:row>
      <xdr:rowOff>9525</xdr:rowOff>
    </xdr:to>
    <xdr:pic>
      <xdr:nvPicPr>
        <xdr:cNvPr id="49" name="Imagem 48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0F3800-6AD6-798B-9169-2B3055C90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24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9525</xdr:colOff>
      <xdr:row>14</xdr:row>
      <xdr:rowOff>9525</xdr:rowOff>
    </xdr:to>
    <xdr:pic>
      <xdr:nvPicPr>
        <xdr:cNvPr id="50" name="Imagem 49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C99DE8-D1C1-CA2E-8248-0276225ED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124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9525</xdr:colOff>
      <xdr:row>14</xdr:row>
      <xdr:rowOff>9525</xdr:rowOff>
    </xdr:to>
    <xdr:pic>
      <xdr:nvPicPr>
        <xdr:cNvPr id="51" name="Imagem 50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958374-EDF9-2BD8-323F-06EE10FE4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124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257175</xdr:colOff>
          <xdr:row>2</xdr:row>
          <xdr:rowOff>266700</xdr:rowOff>
        </xdr:to>
        <xdr:sp macro="" textlink="">
          <xdr:nvSpPr>
            <xdr:cNvPr id="3139" name="Control 67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00000000-0008-0000-0000-00004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52" name="Imagem 51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DC3A97-3600-568D-1962-E8113BE9B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72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53" name="Imagem 52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D9F505-F068-14FB-AF42-96F3B39AE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772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54" name="Imagem 53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44A95E-61E7-4211-3632-C7DC7C47A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772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257175</xdr:colOff>
          <xdr:row>4</xdr:row>
          <xdr:rowOff>76200</xdr:rowOff>
        </xdr:to>
        <xdr:sp macro="" textlink="">
          <xdr:nvSpPr>
            <xdr:cNvPr id="3143" name="Control 71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00000000-0008-0000-0000-00004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</xdr:row>
      <xdr:rowOff>0</xdr:rowOff>
    </xdr:from>
    <xdr:to>
      <xdr:col>0</xdr:col>
      <xdr:colOff>9525</xdr:colOff>
      <xdr:row>3</xdr:row>
      <xdr:rowOff>9525</xdr:rowOff>
    </xdr:to>
    <xdr:pic>
      <xdr:nvPicPr>
        <xdr:cNvPr id="55" name="Imagem 54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4D990D-B46A-0204-A917-EC2F4F886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58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9525</xdr:colOff>
      <xdr:row>3</xdr:row>
      <xdr:rowOff>9525</xdr:rowOff>
    </xdr:to>
    <xdr:pic>
      <xdr:nvPicPr>
        <xdr:cNvPr id="56" name="Imagem 55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C87F03-F854-2504-D95C-A809BA462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258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9525</xdr:colOff>
      <xdr:row>3</xdr:row>
      <xdr:rowOff>9525</xdr:rowOff>
    </xdr:to>
    <xdr:pic>
      <xdr:nvPicPr>
        <xdr:cNvPr id="57" name="Imagem 56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2B9D6B-A19C-2865-ACC6-026F3DC8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258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257175</xdr:colOff>
          <xdr:row>9</xdr:row>
          <xdr:rowOff>76200</xdr:rowOff>
        </xdr:to>
        <xdr:sp macro="" textlink="">
          <xdr:nvSpPr>
            <xdr:cNvPr id="3147" name="Control 75" hidden="1">
              <a:extLst>
                <a:ext uri="{63B3BB69-23CF-44E3-9099-C40C66FF867C}">
                  <a14:compatExt spid="_x0000_s3147"/>
                </a:ext>
                <a:ext uri="{FF2B5EF4-FFF2-40B4-BE49-F238E27FC236}">
                  <a16:creationId xmlns:a16="http://schemas.microsoft.com/office/drawing/2014/main" id="{00000000-0008-0000-0000-00004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</xdr:row>
      <xdr:rowOff>0</xdr:rowOff>
    </xdr:from>
    <xdr:to>
      <xdr:col>0</xdr:col>
      <xdr:colOff>9525</xdr:colOff>
      <xdr:row>8</xdr:row>
      <xdr:rowOff>9525</xdr:rowOff>
    </xdr:to>
    <xdr:pic>
      <xdr:nvPicPr>
        <xdr:cNvPr id="58" name="Imagem 57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C97005-820F-EB04-6EBB-2C948EA42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7442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9525</xdr:colOff>
      <xdr:row>8</xdr:row>
      <xdr:rowOff>9525</xdr:rowOff>
    </xdr:to>
    <xdr:pic>
      <xdr:nvPicPr>
        <xdr:cNvPr id="59" name="Imagem 58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1CF2BC-5EA5-C9FE-EF2A-A43B03F23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7442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9525</xdr:colOff>
      <xdr:row>8</xdr:row>
      <xdr:rowOff>9525</xdr:rowOff>
    </xdr:to>
    <xdr:pic>
      <xdr:nvPicPr>
        <xdr:cNvPr id="60" name="Imagem 59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8EFEBB-0EB9-E837-D10A-C22AFFDA6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7442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257175</xdr:colOff>
          <xdr:row>7</xdr:row>
          <xdr:rowOff>266700</xdr:rowOff>
        </xdr:to>
        <xdr:sp macro="" textlink="">
          <xdr:nvSpPr>
            <xdr:cNvPr id="3151" name="Control 79" hidden="1">
              <a:extLst>
                <a:ext uri="{63B3BB69-23CF-44E3-9099-C40C66FF867C}">
                  <a14:compatExt spid="_x0000_s3151"/>
                </a:ext>
                <a:ext uri="{FF2B5EF4-FFF2-40B4-BE49-F238E27FC236}">
                  <a16:creationId xmlns:a16="http://schemas.microsoft.com/office/drawing/2014/main" id="{00000000-0008-0000-0000-00004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</xdr:row>
      <xdr:rowOff>0</xdr:rowOff>
    </xdr:from>
    <xdr:to>
      <xdr:col>0</xdr:col>
      <xdr:colOff>9525</xdr:colOff>
      <xdr:row>7</xdr:row>
      <xdr:rowOff>9525</xdr:rowOff>
    </xdr:to>
    <xdr:pic>
      <xdr:nvPicPr>
        <xdr:cNvPr id="61" name="Imagem 60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A349FC-FF1F-D7FE-4B7C-B26B4E780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553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9525</xdr:colOff>
      <xdr:row>7</xdr:row>
      <xdr:rowOff>9525</xdr:rowOff>
    </xdr:to>
    <xdr:pic>
      <xdr:nvPicPr>
        <xdr:cNvPr id="62" name="Imagem 61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B82333-6B39-EF9E-93C4-E0C936A34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553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9525</xdr:colOff>
      <xdr:row>7</xdr:row>
      <xdr:rowOff>9525</xdr:rowOff>
    </xdr:to>
    <xdr:pic>
      <xdr:nvPicPr>
        <xdr:cNvPr id="63" name="Imagem 62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785972-B705-DF43-6DD1-BC34EFDC5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553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3136" name="Imagem 3135" descr="Descendent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7D158E0-DF95-6FC3-081A-C5E9B1681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8175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257175</xdr:colOff>
          <xdr:row>2</xdr:row>
          <xdr:rowOff>76200</xdr:rowOff>
        </xdr:to>
        <xdr:sp macro="" textlink="">
          <xdr:nvSpPr>
            <xdr:cNvPr id="3222" name="Control 150" hidden="1">
              <a:extLst>
                <a:ext uri="{63B3BB69-23CF-44E3-9099-C40C66FF867C}">
                  <a14:compatExt spid="_x0000_s3222"/>
                </a:ext>
                <a:ext uri="{FF2B5EF4-FFF2-40B4-BE49-F238E27FC236}">
                  <a16:creationId xmlns:a16="http://schemas.microsoft.com/office/drawing/2014/main" id="{00000000-0008-0000-0000-00009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3137" name="Imagem 3136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70B773-8ECC-17F0-FF0A-53E548C04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3138" name="Imagem 3137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993D45-859B-712C-D554-A07A77B21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3140" name="Imagem 3139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8AAEF8-CF84-1B37-FA92-FE74D17B6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257175</xdr:colOff>
          <xdr:row>19</xdr:row>
          <xdr:rowOff>76200</xdr:rowOff>
        </xdr:to>
        <xdr:sp macro="" textlink="">
          <xdr:nvSpPr>
            <xdr:cNvPr id="3223" name="Control 151" hidden="1">
              <a:extLst>
                <a:ext uri="{63B3BB69-23CF-44E3-9099-C40C66FF867C}">
                  <a14:compatExt spid="_x0000_s3223"/>
                </a:ext>
                <a:ext uri="{FF2B5EF4-FFF2-40B4-BE49-F238E27FC236}">
                  <a16:creationId xmlns:a16="http://schemas.microsoft.com/office/drawing/2014/main" id="{00000000-0008-0000-0000-00009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</xdr:row>
      <xdr:rowOff>0</xdr:rowOff>
    </xdr:from>
    <xdr:to>
      <xdr:col>0</xdr:col>
      <xdr:colOff>9525</xdr:colOff>
      <xdr:row>18</xdr:row>
      <xdr:rowOff>9525</xdr:rowOff>
    </xdr:to>
    <xdr:pic>
      <xdr:nvPicPr>
        <xdr:cNvPr id="3141" name="Imagem 3140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3E260B-493A-D905-0D1F-7DF921024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9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9525</xdr:colOff>
      <xdr:row>18</xdr:row>
      <xdr:rowOff>9525</xdr:rowOff>
    </xdr:to>
    <xdr:pic>
      <xdr:nvPicPr>
        <xdr:cNvPr id="3142" name="Imagem 3141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719A5F-F4C3-7BF0-C59C-213602441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9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9525</xdr:colOff>
      <xdr:row>18</xdr:row>
      <xdr:rowOff>9525</xdr:rowOff>
    </xdr:to>
    <xdr:pic>
      <xdr:nvPicPr>
        <xdr:cNvPr id="3144" name="Imagem 3143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7E083C-8316-F505-51F3-EC4086462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9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257175</xdr:colOff>
          <xdr:row>21</xdr:row>
          <xdr:rowOff>76200</xdr:rowOff>
        </xdr:to>
        <xdr:sp macro="" textlink="">
          <xdr:nvSpPr>
            <xdr:cNvPr id="3224" name="Control 152" hidden="1">
              <a:extLst>
                <a:ext uri="{63B3BB69-23CF-44E3-9099-C40C66FF867C}">
                  <a14:compatExt spid="_x0000_s3224"/>
                </a:ext>
                <a:ext uri="{FF2B5EF4-FFF2-40B4-BE49-F238E27FC236}">
                  <a16:creationId xmlns:a16="http://schemas.microsoft.com/office/drawing/2014/main" id="{00000000-0008-0000-0000-00009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</xdr:row>
      <xdr:rowOff>0</xdr:rowOff>
    </xdr:from>
    <xdr:to>
      <xdr:col>0</xdr:col>
      <xdr:colOff>9525</xdr:colOff>
      <xdr:row>20</xdr:row>
      <xdr:rowOff>9525</xdr:rowOff>
    </xdr:to>
    <xdr:pic>
      <xdr:nvPicPr>
        <xdr:cNvPr id="3145" name="Imagem 3144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0A79FD-64F6-2E11-2EB3-36F117D84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171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9525</xdr:colOff>
      <xdr:row>20</xdr:row>
      <xdr:rowOff>9525</xdr:rowOff>
    </xdr:to>
    <xdr:pic>
      <xdr:nvPicPr>
        <xdr:cNvPr id="3146" name="Imagem 3145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DB8EDA-8AA7-D24C-FB88-62E1A8188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171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9525</xdr:colOff>
      <xdr:row>20</xdr:row>
      <xdr:rowOff>9525</xdr:rowOff>
    </xdr:to>
    <xdr:pic>
      <xdr:nvPicPr>
        <xdr:cNvPr id="3148" name="Imagem 3147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75B1D3-A907-A8F9-8E76-7933ABDBF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171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257175</xdr:colOff>
          <xdr:row>10</xdr:row>
          <xdr:rowOff>76200</xdr:rowOff>
        </xdr:to>
        <xdr:sp macro="" textlink="">
          <xdr:nvSpPr>
            <xdr:cNvPr id="3225" name="Control 153" hidden="1">
              <a:extLst>
                <a:ext uri="{63B3BB69-23CF-44E3-9099-C40C66FF867C}">
                  <a14:compatExt spid="_x0000_s3225"/>
                </a:ext>
                <a:ext uri="{FF2B5EF4-FFF2-40B4-BE49-F238E27FC236}">
                  <a16:creationId xmlns:a16="http://schemas.microsoft.com/office/drawing/2014/main" id="{00000000-0008-0000-0000-00009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</xdr:row>
      <xdr:rowOff>0</xdr:rowOff>
    </xdr:from>
    <xdr:to>
      <xdr:col>0</xdr:col>
      <xdr:colOff>9525</xdr:colOff>
      <xdr:row>9</xdr:row>
      <xdr:rowOff>9525</xdr:rowOff>
    </xdr:to>
    <xdr:pic>
      <xdr:nvPicPr>
        <xdr:cNvPr id="3149" name="Imagem 3148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8FD942-8826-CAE9-D35F-30000EF3A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47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9525</xdr:colOff>
      <xdr:row>9</xdr:row>
      <xdr:rowOff>9525</xdr:rowOff>
    </xdr:to>
    <xdr:pic>
      <xdr:nvPicPr>
        <xdr:cNvPr id="3150" name="Imagem 3149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151152-016B-D6FE-7B01-693B6882B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247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9525</xdr:colOff>
      <xdr:row>9</xdr:row>
      <xdr:rowOff>9525</xdr:rowOff>
    </xdr:to>
    <xdr:pic>
      <xdr:nvPicPr>
        <xdr:cNvPr id="3152" name="Imagem 3151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188CA9-BEB1-EB35-D15F-01EC27840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247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257175</xdr:colOff>
          <xdr:row>10</xdr:row>
          <xdr:rowOff>266700</xdr:rowOff>
        </xdr:to>
        <xdr:sp macro="" textlink="">
          <xdr:nvSpPr>
            <xdr:cNvPr id="3226" name="Control 154" hidden="1">
              <a:extLst>
                <a:ext uri="{63B3BB69-23CF-44E3-9099-C40C66FF867C}">
                  <a14:compatExt spid="_x0000_s3226"/>
                </a:ext>
                <a:ext uri="{FF2B5EF4-FFF2-40B4-BE49-F238E27FC236}">
                  <a16:creationId xmlns:a16="http://schemas.microsoft.com/office/drawing/2014/main" id="{00000000-0008-0000-0000-00009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</xdr:row>
      <xdr:rowOff>0</xdr:rowOff>
    </xdr:from>
    <xdr:to>
      <xdr:col>0</xdr:col>
      <xdr:colOff>9525</xdr:colOff>
      <xdr:row>10</xdr:row>
      <xdr:rowOff>9525</xdr:rowOff>
    </xdr:to>
    <xdr:pic>
      <xdr:nvPicPr>
        <xdr:cNvPr id="3153" name="Imagem 3152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16F325-0131-9288-C298-F98D784EE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323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9525</xdr:colOff>
      <xdr:row>10</xdr:row>
      <xdr:rowOff>9525</xdr:rowOff>
    </xdr:to>
    <xdr:pic>
      <xdr:nvPicPr>
        <xdr:cNvPr id="3154" name="Imagem 3153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14DC6F-C507-11D2-9F10-882CFBB20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323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9525</xdr:colOff>
      <xdr:row>10</xdr:row>
      <xdr:rowOff>9525</xdr:rowOff>
    </xdr:to>
    <xdr:pic>
      <xdr:nvPicPr>
        <xdr:cNvPr id="3155" name="Imagem 3154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83B628-1F88-565F-E9DF-2E1CB6E6E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323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257175</xdr:colOff>
          <xdr:row>13</xdr:row>
          <xdr:rowOff>266700</xdr:rowOff>
        </xdr:to>
        <xdr:sp macro="" textlink="">
          <xdr:nvSpPr>
            <xdr:cNvPr id="3227" name="Control 155" hidden="1">
              <a:extLst>
                <a:ext uri="{63B3BB69-23CF-44E3-9099-C40C66FF867C}">
                  <a14:compatExt spid="_x0000_s3227"/>
                </a:ext>
                <a:ext uri="{FF2B5EF4-FFF2-40B4-BE49-F238E27FC236}">
                  <a16:creationId xmlns:a16="http://schemas.microsoft.com/office/drawing/2014/main" id="{00000000-0008-0000-0000-00009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</xdr:row>
      <xdr:rowOff>0</xdr:rowOff>
    </xdr:from>
    <xdr:to>
      <xdr:col>0</xdr:col>
      <xdr:colOff>9525</xdr:colOff>
      <xdr:row>13</xdr:row>
      <xdr:rowOff>9525</xdr:rowOff>
    </xdr:to>
    <xdr:pic>
      <xdr:nvPicPr>
        <xdr:cNvPr id="3156" name="Imagem 3155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0AFA30-2E1A-0F06-D097-B0863649C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9525</xdr:colOff>
      <xdr:row>13</xdr:row>
      <xdr:rowOff>9525</xdr:rowOff>
    </xdr:to>
    <xdr:pic>
      <xdr:nvPicPr>
        <xdr:cNvPr id="3157" name="Imagem 3156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B28223-2407-17D6-9E8A-50D2A88B5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9525</xdr:colOff>
      <xdr:row>13</xdr:row>
      <xdr:rowOff>9525</xdr:rowOff>
    </xdr:to>
    <xdr:pic>
      <xdr:nvPicPr>
        <xdr:cNvPr id="3158" name="Imagem 3157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942E44-88C1-4E27-00F6-9B384EEA2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257175</xdr:colOff>
          <xdr:row>6</xdr:row>
          <xdr:rowOff>76200</xdr:rowOff>
        </xdr:to>
        <xdr:sp macro="" textlink="">
          <xdr:nvSpPr>
            <xdr:cNvPr id="3228" name="Control 156" hidden="1">
              <a:extLst>
                <a:ext uri="{63B3BB69-23CF-44E3-9099-C40C66FF867C}">
                  <a14:compatExt spid="_x0000_s3228"/>
                </a:ext>
                <a:ext uri="{FF2B5EF4-FFF2-40B4-BE49-F238E27FC236}">
                  <a16:creationId xmlns:a16="http://schemas.microsoft.com/office/drawing/2014/main" id="{00000000-0008-0000-0000-00009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</xdr:row>
      <xdr:rowOff>0</xdr:rowOff>
    </xdr:from>
    <xdr:to>
      <xdr:col>0</xdr:col>
      <xdr:colOff>9525</xdr:colOff>
      <xdr:row>5</xdr:row>
      <xdr:rowOff>9525</xdr:rowOff>
    </xdr:to>
    <xdr:pic>
      <xdr:nvPicPr>
        <xdr:cNvPr id="3159" name="Imagem 3158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ED8D48-495C-8016-418F-672EBAEF0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476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9525</xdr:colOff>
      <xdr:row>5</xdr:row>
      <xdr:rowOff>9525</xdr:rowOff>
    </xdr:to>
    <xdr:pic>
      <xdr:nvPicPr>
        <xdr:cNvPr id="3160" name="Imagem 3159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762F4C-488D-F3F5-D17B-2E5DA162B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476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9525</xdr:colOff>
      <xdr:row>5</xdr:row>
      <xdr:rowOff>9525</xdr:rowOff>
    </xdr:to>
    <xdr:pic>
      <xdr:nvPicPr>
        <xdr:cNvPr id="3161" name="Imagem 3160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43981-33B0-9365-84F3-BE49E51B1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476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257175</xdr:colOff>
          <xdr:row>13</xdr:row>
          <xdr:rowOff>76200</xdr:rowOff>
        </xdr:to>
        <xdr:sp macro="" textlink="">
          <xdr:nvSpPr>
            <xdr:cNvPr id="3229" name="Control 157" hidden="1">
              <a:extLst>
                <a:ext uri="{63B3BB69-23CF-44E3-9099-C40C66FF867C}">
                  <a14:compatExt spid="_x0000_s3229"/>
                </a:ext>
                <a:ext uri="{FF2B5EF4-FFF2-40B4-BE49-F238E27FC236}">
                  <a16:creationId xmlns:a16="http://schemas.microsoft.com/office/drawing/2014/main" id="{00000000-0008-0000-0000-00009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</xdr:row>
      <xdr:rowOff>0</xdr:rowOff>
    </xdr:from>
    <xdr:to>
      <xdr:col>0</xdr:col>
      <xdr:colOff>9525</xdr:colOff>
      <xdr:row>12</xdr:row>
      <xdr:rowOff>9525</xdr:rowOff>
    </xdr:to>
    <xdr:pic>
      <xdr:nvPicPr>
        <xdr:cNvPr id="3162" name="Imagem 3161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0F7788-DF3A-5373-8FFD-E88BD461F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552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9525</xdr:colOff>
      <xdr:row>12</xdr:row>
      <xdr:rowOff>9525</xdr:rowOff>
    </xdr:to>
    <xdr:pic>
      <xdr:nvPicPr>
        <xdr:cNvPr id="3163" name="Imagem 3162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2378E-4B5F-89B1-B5FE-E7523BE2E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552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9525</xdr:colOff>
      <xdr:row>12</xdr:row>
      <xdr:rowOff>9525</xdr:rowOff>
    </xdr:to>
    <xdr:pic>
      <xdr:nvPicPr>
        <xdr:cNvPr id="3164" name="Imagem 3163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D8CAF5-004D-70B6-926A-1396005EE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552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257175</xdr:colOff>
          <xdr:row>17</xdr:row>
          <xdr:rowOff>76200</xdr:rowOff>
        </xdr:to>
        <xdr:sp macro="" textlink="">
          <xdr:nvSpPr>
            <xdr:cNvPr id="3230" name="Control 158" hidden="1">
              <a:extLst>
                <a:ext uri="{63B3BB69-23CF-44E3-9099-C40C66FF867C}">
                  <a14:compatExt spid="_x0000_s3230"/>
                </a:ext>
                <a:ext uri="{FF2B5EF4-FFF2-40B4-BE49-F238E27FC236}">
                  <a16:creationId xmlns:a16="http://schemas.microsoft.com/office/drawing/2014/main" id="{00000000-0008-0000-0000-00009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</xdr:row>
      <xdr:rowOff>0</xdr:rowOff>
    </xdr:from>
    <xdr:to>
      <xdr:col>0</xdr:col>
      <xdr:colOff>9525</xdr:colOff>
      <xdr:row>16</xdr:row>
      <xdr:rowOff>9525</xdr:rowOff>
    </xdr:to>
    <xdr:pic>
      <xdr:nvPicPr>
        <xdr:cNvPr id="3165" name="Imagem 3164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0B7E93-4D12-BA03-5D39-4C9DC6829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9525</xdr:colOff>
      <xdr:row>16</xdr:row>
      <xdr:rowOff>9525</xdr:rowOff>
    </xdr:to>
    <xdr:pic>
      <xdr:nvPicPr>
        <xdr:cNvPr id="3166" name="Imagem 3165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E787FD-DBE7-C7B8-13A7-63FDCB0D1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9525</xdr:colOff>
      <xdr:row>16</xdr:row>
      <xdr:rowOff>9525</xdr:rowOff>
    </xdr:to>
    <xdr:pic>
      <xdr:nvPicPr>
        <xdr:cNvPr id="3167" name="Imagem 3166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836AED-D92D-A3B9-C5EE-F41B26831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257175</xdr:colOff>
          <xdr:row>20</xdr:row>
          <xdr:rowOff>76200</xdr:rowOff>
        </xdr:to>
        <xdr:sp macro="" textlink="">
          <xdr:nvSpPr>
            <xdr:cNvPr id="3231" name="Control 159" hidden="1">
              <a:extLst>
                <a:ext uri="{63B3BB69-23CF-44E3-9099-C40C66FF867C}">
                  <a14:compatExt spid="_x0000_s3231"/>
                </a:ext>
                <a:ext uri="{FF2B5EF4-FFF2-40B4-BE49-F238E27FC236}">
                  <a16:creationId xmlns:a16="http://schemas.microsoft.com/office/drawing/2014/main" id="{00000000-0008-0000-0000-00009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</xdr:row>
      <xdr:rowOff>0</xdr:rowOff>
    </xdr:from>
    <xdr:to>
      <xdr:col>0</xdr:col>
      <xdr:colOff>9525</xdr:colOff>
      <xdr:row>19</xdr:row>
      <xdr:rowOff>9525</xdr:rowOff>
    </xdr:to>
    <xdr:pic>
      <xdr:nvPicPr>
        <xdr:cNvPr id="3168" name="Imagem 3167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9F6A3B-8146-E083-4BBD-E290424CB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704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9525</xdr:colOff>
      <xdr:row>19</xdr:row>
      <xdr:rowOff>9525</xdr:rowOff>
    </xdr:to>
    <xdr:pic>
      <xdr:nvPicPr>
        <xdr:cNvPr id="3169" name="Imagem 3168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12EC07-258C-C1A5-DBF2-9B904C0A1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704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9525</xdr:colOff>
      <xdr:row>19</xdr:row>
      <xdr:rowOff>9525</xdr:rowOff>
    </xdr:to>
    <xdr:pic>
      <xdr:nvPicPr>
        <xdr:cNvPr id="3170" name="Imagem 3169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3BF8D5-EE89-FB36-F81C-5B7D94A80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704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257175</xdr:colOff>
          <xdr:row>18</xdr:row>
          <xdr:rowOff>76200</xdr:rowOff>
        </xdr:to>
        <xdr:sp macro="" textlink="">
          <xdr:nvSpPr>
            <xdr:cNvPr id="3232" name="Control 160" hidden="1">
              <a:extLst>
                <a:ext uri="{63B3BB69-23CF-44E3-9099-C40C66FF867C}">
                  <a14:compatExt spid="_x0000_s3232"/>
                </a:ext>
                <a:ext uri="{FF2B5EF4-FFF2-40B4-BE49-F238E27FC236}">
                  <a16:creationId xmlns:a16="http://schemas.microsoft.com/office/drawing/2014/main" id="{00000000-0008-0000-0000-0000A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</xdr:row>
      <xdr:rowOff>0</xdr:rowOff>
    </xdr:from>
    <xdr:to>
      <xdr:col>0</xdr:col>
      <xdr:colOff>9525</xdr:colOff>
      <xdr:row>17</xdr:row>
      <xdr:rowOff>9525</xdr:rowOff>
    </xdr:to>
    <xdr:pic>
      <xdr:nvPicPr>
        <xdr:cNvPr id="3171" name="Imagem 3170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E3D232-028E-F2EA-B813-1F2E9D1A2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781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9525</xdr:colOff>
      <xdr:row>17</xdr:row>
      <xdr:rowOff>9525</xdr:rowOff>
    </xdr:to>
    <xdr:pic>
      <xdr:nvPicPr>
        <xdr:cNvPr id="3172" name="Imagem 3171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90D2F5-6927-6282-4189-49DB3101B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781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9525</xdr:colOff>
      <xdr:row>17</xdr:row>
      <xdr:rowOff>9525</xdr:rowOff>
    </xdr:to>
    <xdr:pic>
      <xdr:nvPicPr>
        <xdr:cNvPr id="3173" name="Imagem 3172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2FC76C-BFDD-C97C-818E-5BB38762F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781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257175</xdr:colOff>
          <xdr:row>15</xdr:row>
          <xdr:rowOff>266700</xdr:rowOff>
        </xdr:to>
        <xdr:sp macro="" textlink="">
          <xdr:nvSpPr>
            <xdr:cNvPr id="3233" name="Control 161" hidden="1">
              <a:extLst>
                <a:ext uri="{63B3BB69-23CF-44E3-9099-C40C66FF867C}">
                  <a14:compatExt spid="_x0000_s3233"/>
                </a:ext>
                <a:ext uri="{FF2B5EF4-FFF2-40B4-BE49-F238E27FC236}">
                  <a16:creationId xmlns:a16="http://schemas.microsoft.com/office/drawing/2014/main" id="{00000000-0008-0000-0000-0000A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</xdr:row>
      <xdr:rowOff>0</xdr:rowOff>
    </xdr:from>
    <xdr:to>
      <xdr:col>0</xdr:col>
      <xdr:colOff>9525</xdr:colOff>
      <xdr:row>15</xdr:row>
      <xdr:rowOff>9525</xdr:rowOff>
    </xdr:to>
    <xdr:pic>
      <xdr:nvPicPr>
        <xdr:cNvPr id="3174" name="Imagem 3173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C6265A-770A-157F-BF24-791BB12EC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857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9525</xdr:colOff>
      <xdr:row>15</xdr:row>
      <xdr:rowOff>9525</xdr:rowOff>
    </xdr:to>
    <xdr:pic>
      <xdr:nvPicPr>
        <xdr:cNvPr id="3175" name="Imagem 3174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82E148-F92F-F1AC-1174-2B540AFE1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857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9525</xdr:colOff>
      <xdr:row>15</xdr:row>
      <xdr:rowOff>9525</xdr:rowOff>
    </xdr:to>
    <xdr:pic>
      <xdr:nvPicPr>
        <xdr:cNvPr id="3176" name="Imagem 3175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AD912E-883E-48D8-73E6-E11462351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857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257175</xdr:colOff>
          <xdr:row>7</xdr:row>
          <xdr:rowOff>76200</xdr:rowOff>
        </xdr:to>
        <xdr:sp macro="" textlink="">
          <xdr:nvSpPr>
            <xdr:cNvPr id="3234" name="Control 162" hidden="1">
              <a:extLst>
                <a:ext uri="{63B3BB69-23CF-44E3-9099-C40C66FF867C}">
                  <a14:compatExt spid="_x0000_s3234"/>
                </a:ext>
                <a:ext uri="{FF2B5EF4-FFF2-40B4-BE49-F238E27FC236}">
                  <a16:creationId xmlns:a16="http://schemas.microsoft.com/office/drawing/2014/main" id="{00000000-0008-0000-0000-0000A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</xdr:row>
      <xdr:rowOff>0</xdr:rowOff>
    </xdr:from>
    <xdr:to>
      <xdr:col>0</xdr:col>
      <xdr:colOff>9525</xdr:colOff>
      <xdr:row>6</xdr:row>
      <xdr:rowOff>9525</xdr:rowOff>
    </xdr:to>
    <xdr:pic>
      <xdr:nvPicPr>
        <xdr:cNvPr id="3177" name="Imagem 3176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CE0893-287B-0601-3B18-BC1D5BFA5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933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9525</xdr:colOff>
      <xdr:row>6</xdr:row>
      <xdr:rowOff>9525</xdr:rowOff>
    </xdr:to>
    <xdr:pic>
      <xdr:nvPicPr>
        <xdr:cNvPr id="3178" name="Imagem 3177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41E190-E413-2BFB-5725-D407456D7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933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9525</xdr:colOff>
      <xdr:row>6</xdr:row>
      <xdr:rowOff>9525</xdr:rowOff>
    </xdr:to>
    <xdr:pic>
      <xdr:nvPicPr>
        <xdr:cNvPr id="3179" name="Imagem 3178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FE5720-1E00-AF21-0041-9698BFAA6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933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257175</xdr:colOff>
          <xdr:row>12</xdr:row>
          <xdr:rowOff>76200</xdr:rowOff>
        </xdr:to>
        <xdr:sp macro="" textlink="">
          <xdr:nvSpPr>
            <xdr:cNvPr id="3235" name="Control 163" hidden="1">
              <a:extLst>
                <a:ext uri="{63B3BB69-23CF-44E3-9099-C40C66FF867C}">
                  <a14:compatExt spid="_x0000_s3235"/>
                </a:ext>
                <a:ext uri="{FF2B5EF4-FFF2-40B4-BE49-F238E27FC236}">
                  <a16:creationId xmlns:a16="http://schemas.microsoft.com/office/drawing/2014/main" id="{00000000-0008-0000-0000-0000A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</xdr:row>
      <xdr:rowOff>0</xdr:rowOff>
    </xdr:from>
    <xdr:to>
      <xdr:col>0</xdr:col>
      <xdr:colOff>9525</xdr:colOff>
      <xdr:row>11</xdr:row>
      <xdr:rowOff>9525</xdr:rowOff>
    </xdr:to>
    <xdr:pic>
      <xdr:nvPicPr>
        <xdr:cNvPr id="3180" name="Imagem 3179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416519-8659-DA8F-33DF-ABF34E126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1009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</xdr:colOff>
      <xdr:row>11</xdr:row>
      <xdr:rowOff>9525</xdr:rowOff>
    </xdr:to>
    <xdr:pic>
      <xdr:nvPicPr>
        <xdr:cNvPr id="3181" name="Imagem 3180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8F3CDD-3D2B-6A02-32C5-0E0E7DA5C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1009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</xdr:colOff>
      <xdr:row>11</xdr:row>
      <xdr:rowOff>9525</xdr:rowOff>
    </xdr:to>
    <xdr:pic>
      <xdr:nvPicPr>
        <xdr:cNvPr id="3182" name="Imagem 3181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32FE88-A410-006E-C407-753AFE53C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1009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257175</xdr:colOff>
          <xdr:row>15</xdr:row>
          <xdr:rowOff>76200</xdr:rowOff>
        </xdr:to>
        <xdr:sp macro="" textlink="">
          <xdr:nvSpPr>
            <xdr:cNvPr id="3236" name="Control 164" hidden="1">
              <a:extLst>
                <a:ext uri="{63B3BB69-23CF-44E3-9099-C40C66FF867C}">
                  <a14:compatExt spid="_x0000_s3236"/>
                </a:ext>
                <a:ext uri="{FF2B5EF4-FFF2-40B4-BE49-F238E27FC236}">
                  <a16:creationId xmlns:a16="http://schemas.microsoft.com/office/drawing/2014/main" id="{00000000-0008-0000-0000-0000A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</xdr:row>
      <xdr:rowOff>0</xdr:rowOff>
    </xdr:from>
    <xdr:to>
      <xdr:col>0</xdr:col>
      <xdr:colOff>9525</xdr:colOff>
      <xdr:row>14</xdr:row>
      <xdr:rowOff>9525</xdr:rowOff>
    </xdr:to>
    <xdr:pic>
      <xdr:nvPicPr>
        <xdr:cNvPr id="3183" name="Imagem 3182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32981C-F056-EA11-C539-B6237CE18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1085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9525</xdr:colOff>
      <xdr:row>14</xdr:row>
      <xdr:rowOff>9525</xdr:rowOff>
    </xdr:to>
    <xdr:pic>
      <xdr:nvPicPr>
        <xdr:cNvPr id="3184" name="Imagem 3183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0D5561-703B-041B-B9EA-3A0F846B4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1085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9525</xdr:colOff>
      <xdr:row>14</xdr:row>
      <xdr:rowOff>9525</xdr:rowOff>
    </xdr:to>
    <xdr:pic>
      <xdr:nvPicPr>
        <xdr:cNvPr id="3185" name="Imagem 3184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2761E3-FE2B-0BC7-ED58-61C9D8042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1085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257175</xdr:colOff>
          <xdr:row>2</xdr:row>
          <xdr:rowOff>266700</xdr:rowOff>
        </xdr:to>
        <xdr:sp macro="" textlink="">
          <xdr:nvSpPr>
            <xdr:cNvPr id="3237" name="Control 165" hidden="1">
              <a:extLst>
                <a:ext uri="{63B3BB69-23CF-44E3-9099-C40C66FF867C}">
                  <a14:compatExt spid="_x0000_s3237"/>
                </a:ext>
                <a:ext uri="{FF2B5EF4-FFF2-40B4-BE49-F238E27FC236}">
                  <a16:creationId xmlns:a16="http://schemas.microsoft.com/office/drawing/2014/main" id="{00000000-0008-0000-0000-0000A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3186" name="Imagem 3185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8A7CA1-7BF8-F62D-8EDD-253312CBE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1162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3187" name="Imagem 3186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4381A8-D999-5814-E8E0-ECC29C34D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1162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3188" name="Imagem 3187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5406C-7C4E-FA07-6035-B3134B1E2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1162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257175</xdr:colOff>
          <xdr:row>4</xdr:row>
          <xdr:rowOff>76200</xdr:rowOff>
        </xdr:to>
        <xdr:sp macro="" textlink="">
          <xdr:nvSpPr>
            <xdr:cNvPr id="3238" name="Control 166" hidden="1">
              <a:extLst>
                <a:ext uri="{63B3BB69-23CF-44E3-9099-C40C66FF867C}">
                  <a14:compatExt spid="_x0000_s3238"/>
                </a:ext>
                <a:ext uri="{FF2B5EF4-FFF2-40B4-BE49-F238E27FC236}">
                  <a16:creationId xmlns:a16="http://schemas.microsoft.com/office/drawing/2014/main" id="{00000000-0008-0000-0000-0000A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</xdr:row>
      <xdr:rowOff>0</xdr:rowOff>
    </xdr:from>
    <xdr:to>
      <xdr:col>0</xdr:col>
      <xdr:colOff>9525</xdr:colOff>
      <xdr:row>3</xdr:row>
      <xdr:rowOff>9525</xdr:rowOff>
    </xdr:to>
    <xdr:pic>
      <xdr:nvPicPr>
        <xdr:cNvPr id="3189" name="Imagem 3188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75D81F-48A9-86C2-CD99-4E02D667A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1238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9525</xdr:colOff>
      <xdr:row>3</xdr:row>
      <xdr:rowOff>9525</xdr:rowOff>
    </xdr:to>
    <xdr:pic>
      <xdr:nvPicPr>
        <xdr:cNvPr id="3190" name="Imagem 3189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6B0386-4E3C-5721-B4DF-701AA9A4A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1238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9525</xdr:colOff>
      <xdr:row>3</xdr:row>
      <xdr:rowOff>9525</xdr:rowOff>
    </xdr:to>
    <xdr:pic>
      <xdr:nvPicPr>
        <xdr:cNvPr id="3191" name="Imagem 3190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7B405F-77DC-8BEC-6944-ABF33636E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1238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257175</xdr:colOff>
          <xdr:row>9</xdr:row>
          <xdr:rowOff>76200</xdr:rowOff>
        </xdr:to>
        <xdr:sp macro="" textlink="">
          <xdr:nvSpPr>
            <xdr:cNvPr id="3239" name="Control 167" hidden="1">
              <a:extLst>
                <a:ext uri="{63B3BB69-23CF-44E3-9099-C40C66FF867C}">
                  <a14:compatExt spid="_x0000_s3239"/>
                </a:ext>
                <a:ext uri="{FF2B5EF4-FFF2-40B4-BE49-F238E27FC236}">
                  <a16:creationId xmlns:a16="http://schemas.microsoft.com/office/drawing/2014/main" id="{00000000-0008-0000-0000-0000A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</xdr:row>
      <xdr:rowOff>0</xdr:rowOff>
    </xdr:from>
    <xdr:to>
      <xdr:col>0</xdr:col>
      <xdr:colOff>9525</xdr:colOff>
      <xdr:row>8</xdr:row>
      <xdr:rowOff>9525</xdr:rowOff>
    </xdr:to>
    <xdr:pic>
      <xdr:nvPicPr>
        <xdr:cNvPr id="3192" name="Imagem 3191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16AF9E-908E-9572-36B2-5E9C613ED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1314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9525</xdr:colOff>
      <xdr:row>8</xdr:row>
      <xdr:rowOff>9525</xdr:rowOff>
    </xdr:to>
    <xdr:pic>
      <xdr:nvPicPr>
        <xdr:cNvPr id="3193" name="Imagem 3192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CB34BD-BE92-A847-087C-E8BBC3F90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1314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9525</xdr:colOff>
      <xdr:row>8</xdr:row>
      <xdr:rowOff>9525</xdr:rowOff>
    </xdr:to>
    <xdr:pic>
      <xdr:nvPicPr>
        <xdr:cNvPr id="3194" name="Imagem 3193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EC0ECE-3B8B-3673-8466-125597821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1314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257175</xdr:colOff>
          <xdr:row>7</xdr:row>
          <xdr:rowOff>266700</xdr:rowOff>
        </xdr:to>
        <xdr:sp macro="" textlink="">
          <xdr:nvSpPr>
            <xdr:cNvPr id="3240" name="Control 168" hidden="1">
              <a:extLst>
                <a:ext uri="{63B3BB69-23CF-44E3-9099-C40C66FF867C}">
                  <a14:compatExt spid="_x0000_s3240"/>
                </a:ext>
                <a:ext uri="{FF2B5EF4-FFF2-40B4-BE49-F238E27FC236}">
                  <a16:creationId xmlns:a16="http://schemas.microsoft.com/office/drawing/2014/main" id="{00000000-0008-0000-0000-0000A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</xdr:row>
      <xdr:rowOff>0</xdr:rowOff>
    </xdr:from>
    <xdr:to>
      <xdr:col>0</xdr:col>
      <xdr:colOff>9525</xdr:colOff>
      <xdr:row>7</xdr:row>
      <xdr:rowOff>9525</xdr:rowOff>
    </xdr:to>
    <xdr:pic>
      <xdr:nvPicPr>
        <xdr:cNvPr id="3195" name="Imagem 3194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61F4D7-4044-2238-2823-B842E01B9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1390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9525</xdr:colOff>
      <xdr:row>7</xdr:row>
      <xdr:rowOff>9525</xdr:rowOff>
    </xdr:to>
    <xdr:pic>
      <xdr:nvPicPr>
        <xdr:cNvPr id="3196" name="Imagem 3195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339023-61E4-042C-971F-D0D873879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1390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9525</xdr:colOff>
      <xdr:row>7</xdr:row>
      <xdr:rowOff>9525</xdr:rowOff>
    </xdr:to>
    <xdr:pic>
      <xdr:nvPicPr>
        <xdr:cNvPr id="3197" name="Imagem 3196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062D60-403B-CABA-9D2D-1BB288225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1390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257175</xdr:colOff>
          <xdr:row>5</xdr:row>
          <xdr:rowOff>76200</xdr:rowOff>
        </xdr:to>
        <xdr:sp macro="" textlink="">
          <xdr:nvSpPr>
            <xdr:cNvPr id="3241" name="Control 169" hidden="1">
              <a:extLst>
                <a:ext uri="{63B3BB69-23CF-44E3-9099-C40C66FF867C}">
                  <a14:compatExt spid="_x0000_s3241"/>
                </a:ext>
                <a:ext uri="{FF2B5EF4-FFF2-40B4-BE49-F238E27FC236}">
                  <a16:creationId xmlns:a16="http://schemas.microsoft.com/office/drawing/2014/main" id="{00000000-0008-0000-0000-0000A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</xdr:row>
      <xdr:rowOff>0</xdr:rowOff>
    </xdr:from>
    <xdr:to>
      <xdr:col>0</xdr:col>
      <xdr:colOff>9525</xdr:colOff>
      <xdr:row>4</xdr:row>
      <xdr:rowOff>9525</xdr:rowOff>
    </xdr:to>
    <xdr:pic>
      <xdr:nvPicPr>
        <xdr:cNvPr id="3198" name="Imagem 3197" descr="Edi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46A3E0-BC3C-9E18-F7CF-E9834B911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1466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9525</xdr:colOff>
      <xdr:row>4</xdr:row>
      <xdr:rowOff>9525</xdr:rowOff>
    </xdr:to>
    <xdr:pic>
      <xdr:nvPicPr>
        <xdr:cNvPr id="3199" name="Imagem 3198" descr="Copi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A4FC01-52AA-A678-627E-CFFD54198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1466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9525</xdr:colOff>
      <xdr:row>4</xdr:row>
      <xdr:rowOff>9525</xdr:rowOff>
    </xdr:to>
    <xdr:pic>
      <xdr:nvPicPr>
        <xdr:cNvPr id="3200" name="Imagem 3199" descr="Remov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210A46-8688-A51B-17D2-109546CF2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1466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361950</xdr:colOff>
      <xdr:row>22</xdr:row>
      <xdr:rowOff>19050</xdr:rowOff>
    </xdr:to>
    <xdr:pic>
      <xdr:nvPicPr>
        <xdr:cNvPr id="3201" name="Imagem 3200" descr="Com marcados:">
          <a:extLst>
            <a:ext uri="{FF2B5EF4-FFF2-40B4-BE49-F238E27FC236}">
              <a16:creationId xmlns:a16="http://schemas.microsoft.com/office/drawing/2014/main" id="{752099EF-B611-05D5-AE31-DA5D6B35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30500"/>
          <a:ext cx="3619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28575</xdr:rowOff>
        </xdr:from>
        <xdr:to>
          <xdr:col>0</xdr:col>
          <xdr:colOff>257175</xdr:colOff>
          <xdr:row>23</xdr:row>
          <xdr:rowOff>104775</xdr:rowOff>
        </xdr:to>
        <xdr:sp macro="" textlink="">
          <xdr:nvSpPr>
            <xdr:cNvPr id="3242" name="Control 170" hidden="1">
              <a:extLst>
                <a:ext uri="{63B3BB69-23CF-44E3-9099-C40C66FF867C}">
                  <a14:compatExt spid="_x0000_s3242"/>
                </a:ext>
                <a:ext uri="{FF2B5EF4-FFF2-40B4-BE49-F238E27FC236}">
                  <a16:creationId xmlns:a16="http://schemas.microsoft.com/office/drawing/2014/main" id="{00000000-0008-0000-0000-0000A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</xdr:row>
      <xdr:rowOff>0</xdr:rowOff>
    </xdr:from>
    <xdr:to>
      <xdr:col>0</xdr:col>
      <xdr:colOff>9525</xdr:colOff>
      <xdr:row>23</xdr:row>
      <xdr:rowOff>9525</xdr:rowOff>
    </xdr:to>
    <xdr:pic>
      <xdr:nvPicPr>
        <xdr:cNvPr id="3202" name="Imagem 3201" descr="Editar">
          <a:extLst>
            <a:ext uri="{FF2B5EF4-FFF2-40B4-BE49-F238E27FC236}">
              <a16:creationId xmlns:a16="http://schemas.microsoft.com/office/drawing/2014/main" id="{320EF3F8-C227-A7AA-C520-813076B9B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1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9525</xdr:colOff>
      <xdr:row>24</xdr:row>
      <xdr:rowOff>9525</xdr:rowOff>
    </xdr:to>
    <xdr:pic>
      <xdr:nvPicPr>
        <xdr:cNvPr id="3203" name="Imagem 3202" descr="Copiar">
          <a:extLst>
            <a:ext uri="{FF2B5EF4-FFF2-40B4-BE49-F238E27FC236}">
              <a16:creationId xmlns:a16="http://schemas.microsoft.com/office/drawing/2014/main" id="{039052B0-1AE3-403C-6336-FB447685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0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3204" name="Imagem 3203" descr="Remover">
          <a:extLst>
            <a:ext uri="{FF2B5EF4-FFF2-40B4-BE49-F238E27FC236}">
              <a16:creationId xmlns:a16="http://schemas.microsoft.com/office/drawing/2014/main" id="{978DBB6A-0501-BAC6-81DA-80E34147C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9525</xdr:colOff>
      <xdr:row>26</xdr:row>
      <xdr:rowOff>9525</xdr:rowOff>
    </xdr:to>
    <xdr:pic>
      <xdr:nvPicPr>
        <xdr:cNvPr id="3205" name="Imagem 3204" descr="Exportar">
          <a:extLst>
            <a:ext uri="{FF2B5EF4-FFF2-40B4-BE49-F238E27FC236}">
              <a16:creationId xmlns:a16="http://schemas.microsoft.com/office/drawing/2014/main" id="{2195BDA5-40BC-B876-E5E7-E3BDF155E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8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3.xml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6.xml"/><Relationship Id="rId39" Type="http://schemas.openxmlformats.org/officeDocument/2006/relationships/control" Target="../activeX/activeX29.xml"/><Relationship Id="rId21" Type="http://schemas.openxmlformats.org/officeDocument/2006/relationships/control" Target="../activeX/activeX11.xml"/><Relationship Id="rId34" Type="http://schemas.openxmlformats.org/officeDocument/2006/relationships/control" Target="../activeX/activeX24.xml"/><Relationship Id="rId42" Type="http://schemas.openxmlformats.org/officeDocument/2006/relationships/control" Target="../activeX/activeX32.xml"/><Relationship Id="rId47" Type="http://schemas.openxmlformats.org/officeDocument/2006/relationships/control" Target="../activeX/activeX37.xml"/><Relationship Id="rId50" Type="http://schemas.openxmlformats.org/officeDocument/2006/relationships/control" Target="../activeX/activeX40.xml"/><Relationship Id="rId7" Type="http://schemas.openxmlformats.org/officeDocument/2006/relationships/hyperlink" Target="http://localhost/phpmyadmin/index.php?route=/sql&amp;server=2&amp;db=bd_cantinaia&amp;table=produtos&amp;sql_query=SELECT+%2A+FROM+%60produtos%60++%0AORDER+BY+%60produtos%60.%60imagem1%60+ASC&amp;sql_signature=ecf8c759909b7c94600167cdf4c64ff6bb71b4e48fae3b4ae449e7338bae00f7&amp;session_max_rows=25&amp;is_browse_distinct=0&amp;server=2" TargetMode="External"/><Relationship Id="rId2" Type="http://schemas.openxmlformats.org/officeDocument/2006/relationships/hyperlink" Target="http://localhost/phpmyadmin/index.php?route=/sql&amp;server=2&amp;db=bd_cantinaia&amp;table=produtos&amp;sql_query=SELECT+%2A+FROM+%60produtos%60++%0AORDER+BY+%60produtos%60.%60nome%60+ASC&amp;sql_signature=c9f0519f4bbab1651069dee64dafae6c82c139d1b3b16b4e6ba3b7fedaf7ae9b&amp;session_max_rows=25&amp;is_browse_distinct=0&amp;server=2" TargetMode="External"/><Relationship Id="rId16" Type="http://schemas.openxmlformats.org/officeDocument/2006/relationships/control" Target="../activeX/activeX6.xml"/><Relationship Id="rId29" Type="http://schemas.openxmlformats.org/officeDocument/2006/relationships/control" Target="../activeX/activeX19.xml"/><Relationship Id="rId11" Type="http://schemas.openxmlformats.org/officeDocument/2006/relationships/image" Target="../media/image1.emf"/><Relationship Id="rId24" Type="http://schemas.openxmlformats.org/officeDocument/2006/relationships/control" Target="../activeX/activeX14.xml"/><Relationship Id="rId32" Type="http://schemas.openxmlformats.org/officeDocument/2006/relationships/control" Target="../activeX/activeX22.xml"/><Relationship Id="rId37" Type="http://schemas.openxmlformats.org/officeDocument/2006/relationships/control" Target="../activeX/activeX27.xml"/><Relationship Id="rId40" Type="http://schemas.openxmlformats.org/officeDocument/2006/relationships/control" Target="../activeX/activeX30.xml"/><Relationship Id="rId45" Type="http://schemas.openxmlformats.org/officeDocument/2006/relationships/control" Target="../activeX/activeX35.xml"/><Relationship Id="rId5" Type="http://schemas.openxmlformats.org/officeDocument/2006/relationships/hyperlink" Target="http://localhost/phpmyadmin/index.php?route=/sql&amp;server=2&amp;db=bd_cantinaia&amp;table=produtos&amp;sql_query=SELECT+%2A+FROM+%60produtos%60++%0AORDER+BY+%60produtos%60.%60estoque%60+ASC&amp;sql_signature=07bb04b04b02b14476c135fa2abb61b4679b6f3e4bcf84feac1b307e5f92065a&amp;session_max_rows=25&amp;is_browse_distinct=0&amp;server=2" TargetMode="External"/><Relationship Id="rId15" Type="http://schemas.openxmlformats.org/officeDocument/2006/relationships/control" Target="../activeX/activeX5.xml"/><Relationship Id="rId23" Type="http://schemas.openxmlformats.org/officeDocument/2006/relationships/control" Target="../activeX/activeX13.xml"/><Relationship Id="rId28" Type="http://schemas.openxmlformats.org/officeDocument/2006/relationships/control" Target="../activeX/activeX18.xml"/><Relationship Id="rId36" Type="http://schemas.openxmlformats.org/officeDocument/2006/relationships/control" Target="../activeX/activeX26.xml"/><Relationship Id="rId49" Type="http://schemas.openxmlformats.org/officeDocument/2006/relationships/control" Target="../activeX/activeX39.xml"/><Relationship Id="rId10" Type="http://schemas.openxmlformats.org/officeDocument/2006/relationships/control" Target="../activeX/activeX1.xml"/><Relationship Id="rId19" Type="http://schemas.openxmlformats.org/officeDocument/2006/relationships/control" Target="../activeX/activeX9.xml"/><Relationship Id="rId31" Type="http://schemas.openxmlformats.org/officeDocument/2006/relationships/control" Target="../activeX/activeX21.xml"/><Relationship Id="rId44" Type="http://schemas.openxmlformats.org/officeDocument/2006/relationships/control" Target="../activeX/activeX34.xml"/><Relationship Id="rId4" Type="http://schemas.openxmlformats.org/officeDocument/2006/relationships/hyperlink" Target="http://localhost/phpmyadmin/index.php?route=/sql&amp;server=2&amp;db=bd_cantinaia&amp;table=produtos&amp;sql_query=SELECT+%2A+FROM+%60produtos%60++%0AORDER+BY+%60produtos%60.%60preco%60+ASC&amp;sql_signature=6cf7d340a7b017e68b3ed4b19f356057cc35d48313210f4c98fda0ed37f2873f&amp;session_max_rows=25&amp;is_browse_distinct=0&amp;server=2" TargetMode="External"/><Relationship Id="rId9" Type="http://schemas.openxmlformats.org/officeDocument/2006/relationships/vmlDrawing" Target="../drawings/vmlDrawing1.vml"/><Relationship Id="rId14" Type="http://schemas.openxmlformats.org/officeDocument/2006/relationships/control" Target="../activeX/activeX4.xml"/><Relationship Id="rId22" Type="http://schemas.openxmlformats.org/officeDocument/2006/relationships/control" Target="../activeX/activeX12.xml"/><Relationship Id="rId27" Type="http://schemas.openxmlformats.org/officeDocument/2006/relationships/control" Target="../activeX/activeX17.xml"/><Relationship Id="rId30" Type="http://schemas.openxmlformats.org/officeDocument/2006/relationships/control" Target="../activeX/activeX20.xml"/><Relationship Id="rId35" Type="http://schemas.openxmlformats.org/officeDocument/2006/relationships/control" Target="../activeX/activeX25.xml"/><Relationship Id="rId43" Type="http://schemas.openxmlformats.org/officeDocument/2006/relationships/control" Target="../activeX/activeX33.xml"/><Relationship Id="rId48" Type="http://schemas.openxmlformats.org/officeDocument/2006/relationships/control" Target="../activeX/activeX38.xml"/><Relationship Id="rId8" Type="http://schemas.openxmlformats.org/officeDocument/2006/relationships/drawing" Target="../drawings/drawing1.xml"/><Relationship Id="rId51" Type="http://schemas.openxmlformats.org/officeDocument/2006/relationships/control" Target="../activeX/activeX41.xml"/><Relationship Id="rId3" Type="http://schemas.openxmlformats.org/officeDocument/2006/relationships/hyperlink" Target="http://localhost/phpmyadmin/index.php?route=/sql&amp;server=2&amp;db=bd_cantinaia&amp;table=produtos&amp;sql_query=SELECT+%2A+FROM+%60produtos%60++%0AORDER+BY+%60produtos%60.%60descricao%60+ASC&amp;sql_signature=75cb5cf5a285b3a7626c7f3c4759c9f7ca5f302f2384ae068b11cd46b7b039c0&amp;session_max_rows=25&amp;is_browse_distinct=0&amp;server=2" TargetMode="External"/><Relationship Id="rId12" Type="http://schemas.openxmlformats.org/officeDocument/2006/relationships/control" Target="../activeX/activeX2.xml"/><Relationship Id="rId17" Type="http://schemas.openxmlformats.org/officeDocument/2006/relationships/control" Target="../activeX/activeX7.xml"/><Relationship Id="rId25" Type="http://schemas.openxmlformats.org/officeDocument/2006/relationships/control" Target="../activeX/activeX15.xml"/><Relationship Id="rId33" Type="http://schemas.openxmlformats.org/officeDocument/2006/relationships/control" Target="../activeX/activeX23.xml"/><Relationship Id="rId38" Type="http://schemas.openxmlformats.org/officeDocument/2006/relationships/control" Target="../activeX/activeX28.xml"/><Relationship Id="rId46" Type="http://schemas.openxmlformats.org/officeDocument/2006/relationships/control" Target="../activeX/activeX36.xml"/><Relationship Id="rId20" Type="http://schemas.openxmlformats.org/officeDocument/2006/relationships/control" Target="../activeX/activeX10.xml"/><Relationship Id="rId41" Type="http://schemas.openxmlformats.org/officeDocument/2006/relationships/control" Target="../activeX/activeX31.xml"/><Relationship Id="rId1" Type="http://schemas.openxmlformats.org/officeDocument/2006/relationships/hyperlink" Target="http://localhost/phpmyadmin/index.php?route=/sql&amp;server=2&amp;db=bd_cantinaia&amp;table=produtos&amp;sql_query=SELECT+%2A+FROM+%60produtos%60++%0AORDER+BY+%60produtos%60.%60id%60+ASC&amp;sql_signature=bec1a572f0e74c41c8cf9ba080cd9753937276ec34da4dcc42158c26eb296f9d&amp;session_max_rows=25&amp;is_browse_distinct=0&amp;server=2" TargetMode="External"/><Relationship Id="rId6" Type="http://schemas.openxmlformats.org/officeDocument/2006/relationships/hyperlink" Target="http://localhost/phpmyadmin/index.php?route=/sql&amp;server=2&amp;db=bd_cantinaia&amp;table=produtos&amp;sql_query=SELECT+%2A+FROM+%60produtos%60++%0AORDER+BY+%60produtos%60.%60imagem%60+ASC&amp;sql_signature=79a2af00067081dd97ed6959a4ad5382025ab3e2dba9e7b398593316611bbc0f&amp;session_max_rows=25&amp;is_browse_distinct=0&amp;server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46626-8E39-4ABF-820B-C9A04DCE8100}">
  <sheetPr codeName="Planilha3"/>
  <dimension ref="A1:M73"/>
  <sheetViews>
    <sheetView tabSelected="1" workbookViewId="0">
      <pane ySplit="1" topLeftCell="A60" activePane="bottomLeft" state="frozen"/>
      <selection pane="bottomLeft" activeCell="A73" sqref="A73:XFD73"/>
    </sheetView>
  </sheetViews>
  <sheetFormatPr defaultRowHeight="15" x14ac:dyDescent="0.25"/>
  <cols>
    <col min="2" max="4" width="28.42578125" customWidth="1"/>
    <col min="5" max="5" width="31.42578125" customWidth="1"/>
    <col min="8" max="8" width="44.42578125" bestFit="1" customWidth="1"/>
    <col min="9" max="9" width="40.140625" customWidth="1"/>
    <col min="10" max="10" width="123.28515625" customWidth="1"/>
  </cols>
  <sheetData>
    <row r="1" spans="1:13" x14ac:dyDescent="0.25">
      <c r="A1" s="1" t="s">
        <v>85</v>
      </c>
      <c r="B1" s="1" t="s">
        <v>94</v>
      </c>
      <c r="C1" s="1" t="s">
        <v>95</v>
      </c>
      <c r="D1" s="1" t="s">
        <v>104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6"/>
      <c r="K1" s="7"/>
      <c r="L1" s="7"/>
      <c r="M1" s="7"/>
    </row>
    <row r="2" spans="1:13" x14ac:dyDescent="0.25">
      <c r="A2" s="3">
        <v>7</v>
      </c>
      <c r="B2" s="2" t="s">
        <v>30</v>
      </c>
      <c r="C2" s="4" t="s">
        <v>96</v>
      </c>
      <c r="D2" s="4">
        <v>1</v>
      </c>
      <c r="E2" s="2" t="s">
        <v>31</v>
      </c>
      <c r="F2" s="3" t="s">
        <v>32</v>
      </c>
      <c r="G2" s="3">
        <v>80</v>
      </c>
      <c r="H2" s="2" t="s">
        <v>33</v>
      </c>
      <c r="I2" s="2" t="s">
        <v>34</v>
      </c>
      <c r="J2" s="2" t="str">
        <f>"('"&amp;D2&amp;"',"&amp;"'"&amp;E2&amp;"',"&amp;"'"&amp;F2&amp;"',"&amp;"'"&amp;G2&amp;"',"&amp;"'"&amp;H2&amp;"',"&amp;"'"&amp;I2&amp;"'),"</f>
        <v>('1','Garrafa de água mineral (500ml)','3.00','80','../img/agua.jpg','img/agua.jpg'),</v>
      </c>
    </row>
    <row r="3" spans="1:13" ht="30" x14ac:dyDescent="0.25">
      <c r="A3" s="3">
        <v>20</v>
      </c>
      <c r="B3" s="2" t="s">
        <v>91</v>
      </c>
      <c r="C3" s="4" t="s">
        <v>97</v>
      </c>
      <c r="D3" s="4">
        <v>2</v>
      </c>
      <c r="E3" s="2" t="s">
        <v>150</v>
      </c>
      <c r="F3" s="3" t="s">
        <v>12</v>
      </c>
      <c r="G3" s="3">
        <v>30</v>
      </c>
      <c r="H3" s="2" t="s">
        <v>92</v>
      </c>
      <c r="I3" s="2" t="s">
        <v>93</v>
      </c>
      <c r="J3" s="2" t="str">
        <f t="shared" ref="J3:J65" si="0">"('"&amp;D3&amp;"',"&amp;"'"&amp;E3&amp;"',"&amp;"'"&amp;F3&amp;"',"&amp;"'"&amp;G3&amp;"',"&amp;"'"&amp;H3&amp;"',"&amp;"'"&amp;I3&amp;"'),"</f>
        <v>('2','Garrafa de chá gelado  Pessego (1,5l)','5.00','30','../img/chagelado.jpg','img/chagelado.jpg'),</v>
      </c>
    </row>
    <row r="4" spans="1:13" x14ac:dyDescent="0.25">
      <c r="A4" s="3">
        <v>8</v>
      </c>
      <c r="B4" s="2" t="s">
        <v>35</v>
      </c>
      <c r="C4" s="2" t="s">
        <v>98</v>
      </c>
      <c r="D4" s="2">
        <v>16</v>
      </c>
      <c r="E4" s="2" t="s">
        <v>105</v>
      </c>
      <c r="F4" s="3" t="s">
        <v>36</v>
      </c>
      <c r="G4" s="3">
        <v>60</v>
      </c>
      <c r="H4" s="2" t="s">
        <v>37</v>
      </c>
      <c r="I4" s="2" t="s">
        <v>38</v>
      </c>
      <c r="J4" s="2" t="str">
        <f t="shared" si="0"/>
        <v>('16','Barra de chocolate ao leite 50g','4.50','60','../img/chocolate.jpg','img/chocolate.jpg'),</v>
      </c>
    </row>
    <row r="5" spans="1:13" x14ac:dyDescent="0.25">
      <c r="A5" s="3">
        <v>9</v>
      </c>
      <c r="B5" s="2" t="s">
        <v>39</v>
      </c>
      <c r="C5" s="2" t="s">
        <v>99</v>
      </c>
      <c r="D5" s="2">
        <v>4</v>
      </c>
      <c r="E5" s="2" t="s">
        <v>40</v>
      </c>
      <c r="F5" s="3" t="s">
        <v>41</v>
      </c>
      <c r="G5" s="3">
        <v>200</v>
      </c>
      <c r="H5" s="2" t="s">
        <v>42</v>
      </c>
      <c r="I5" s="2" t="s">
        <v>43</v>
      </c>
      <c r="J5" s="2" t="str">
        <f t="shared" si="0"/>
        <v>('4','Bala de goma','0.50','200','../img/bala.jpg','img/bala.jpg'),</v>
      </c>
    </row>
    <row r="6" spans="1:13" x14ac:dyDescent="0.25">
      <c r="A6" s="3">
        <v>11</v>
      </c>
      <c r="B6" s="2" t="s">
        <v>49</v>
      </c>
      <c r="C6" s="2" t="s">
        <v>99</v>
      </c>
      <c r="D6" s="5">
        <v>15</v>
      </c>
      <c r="E6" s="2" t="s">
        <v>50</v>
      </c>
      <c r="F6" s="3" t="s">
        <v>51</v>
      </c>
      <c r="G6" s="3">
        <v>15</v>
      </c>
      <c r="H6" s="2" t="s">
        <v>52</v>
      </c>
      <c r="I6" s="2" t="s">
        <v>53</v>
      </c>
      <c r="J6" s="2" t="str">
        <f t="shared" si="0"/>
        <v>('15','Mix de frutas frescas','6.50','15','../img/saladadefrutas.jpg','img/saladadefrutas.jpg'),</v>
      </c>
    </row>
    <row r="7" spans="1:13" x14ac:dyDescent="0.25">
      <c r="A7" s="3">
        <v>12</v>
      </c>
      <c r="B7" s="2" t="s">
        <v>54</v>
      </c>
      <c r="C7" s="2" t="s">
        <v>99</v>
      </c>
      <c r="D7" s="2">
        <v>5</v>
      </c>
      <c r="E7" s="2" t="s">
        <v>55</v>
      </c>
      <c r="F7" s="3" t="s">
        <v>12</v>
      </c>
      <c r="G7" s="3">
        <v>30</v>
      </c>
      <c r="H7" s="2" t="s">
        <v>56</v>
      </c>
      <c r="I7" s="2" t="s">
        <v>57</v>
      </c>
      <c r="J7" s="2" t="str">
        <f t="shared" si="0"/>
        <v>('5','Iogurte natural com granola','5.00','30','../img/iogurte.jpg','img/iogurte.jpg'),</v>
      </c>
    </row>
    <row r="8" spans="1:13" ht="30" x14ac:dyDescent="0.25">
      <c r="A8" s="3">
        <v>13</v>
      </c>
      <c r="B8" s="2" t="s">
        <v>58</v>
      </c>
      <c r="C8" s="2" t="s">
        <v>99</v>
      </c>
      <c r="D8" s="2">
        <v>6</v>
      </c>
      <c r="E8" s="2" t="s">
        <v>59</v>
      </c>
      <c r="F8" s="3" t="s">
        <v>32</v>
      </c>
      <c r="G8" s="3">
        <v>70</v>
      </c>
      <c r="H8" s="2" t="s">
        <v>60</v>
      </c>
      <c r="I8" s="2" t="s">
        <v>61</v>
      </c>
      <c r="J8" s="2" t="str">
        <f t="shared" si="0"/>
        <v>('6','Pacote de biscoito recheado (130g)','3.00','70','../img/nikito.jpg','img/nikito.jpg'),</v>
      </c>
    </row>
    <row r="9" spans="1:13" x14ac:dyDescent="0.25">
      <c r="A9" s="3">
        <v>15</v>
      </c>
      <c r="B9" s="2" t="s">
        <v>66</v>
      </c>
      <c r="C9" s="2" t="s">
        <v>99</v>
      </c>
      <c r="D9" s="2">
        <v>7</v>
      </c>
      <c r="E9" s="2" t="s">
        <v>67</v>
      </c>
      <c r="F9" s="3" t="s">
        <v>7</v>
      </c>
      <c r="G9" s="3">
        <v>20</v>
      </c>
      <c r="H9" s="2" t="s">
        <v>68</v>
      </c>
      <c r="I9" s="2" t="s">
        <v>69</v>
      </c>
      <c r="J9" s="2" t="str">
        <f t="shared" si="0"/>
        <v>('7','Fatia de bolo de chocolate','4.00','20','../img/bolo.jpg','img/bolo.jpg'),</v>
      </c>
    </row>
    <row r="10" spans="1:13" x14ac:dyDescent="0.25">
      <c r="A10" s="3">
        <v>19</v>
      </c>
      <c r="B10" s="2" t="s">
        <v>82</v>
      </c>
      <c r="C10" s="2" t="s">
        <v>99</v>
      </c>
      <c r="D10" s="2">
        <v>8</v>
      </c>
      <c r="E10" s="2" t="s">
        <v>83</v>
      </c>
      <c r="F10" s="3" t="s">
        <v>36</v>
      </c>
      <c r="G10" s="3">
        <v>40</v>
      </c>
      <c r="H10" s="2" t="s">
        <v>84</v>
      </c>
      <c r="I10" s="2" t="s">
        <v>81</v>
      </c>
      <c r="J10" s="2" t="str">
        <f t="shared" si="0"/>
        <v>('8','Casquinha de sorvete','4.50','40','../img/sorvete.jpg','img/hotdog.jpg'),</v>
      </c>
    </row>
    <row r="11" spans="1:13" ht="30" x14ac:dyDescent="0.25">
      <c r="A11" s="3">
        <v>10</v>
      </c>
      <c r="B11" s="2" t="s">
        <v>44</v>
      </c>
      <c r="C11" s="2" t="s">
        <v>100</v>
      </c>
      <c r="D11" s="2">
        <v>9</v>
      </c>
      <c r="E11" s="2" t="s">
        <v>45</v>
      </c>
      <c r="F11" s="3" t="s">
        <v>46</v>
      </c>
      <c r="G11" s="3">
        <v>25</v>
      </c>
      <c r="H11" s="2" t="s">
        <v>47</v>
      </c>
      <c r="I11" s="2" t="s">
        <v>48</v>
      </c>
      <c r="J11" s="2" t="str">
        <f t="shared" si="0"/>
        <v>('9','Sanduíche com peito de peru e queijo','7.00','25','../img/sanduiche.jpg','img/sanduiche.jpg'),</v>
      </c>
    </row>
    <row r="12" spans="1:13" x14ac:dyDescent="0.25">
      <c r="A12" s="3">
        <v>18</v>
      </c>
      <c r="B12" s="2" t="s">
        <v>78</v>
      </c>
      <c r="C12" s="2" t="s">
        <v>100</v>
      </c>
      <c r="D12" s="2">
        <v>10</v>
      </c>
      <c r="E12" s="2" t="s">
        <v>79</v>
      </c>
      <c r="F12" s="3" t="s">
        <v>2</v>
      </c>
      <c r="G12" s="3">
        <v>25</v>
      </c>
      <c r="H12" s="2" t="s">
        <v>80</v>
      </c>
      <c r="I12" s="2" t="s">
        <v>81</v>
      </c>
      <c r="J12" s="2" t="str">
        <f t="shared" si="0"/>
        <v>('10','Cachorro-quente simples','7.50','25','../img/hotdog.jpg','img/hotdog.jpg'),</v>
      </c>
    </row>
    <row r="13" spans="1:13" x14ac:dyDescent="0.25">
      <c r="A13" s="3">
        <v>6</v>
      </c>
      <c r="B13" s="2" t="s">
        <v>25</v>
      </c>
      <c r="C13" s="4" t="s">
        <v>101</v>
      </c>
      <c r="D13" s="4">
        <v>11</v>
      </c>
      <c r="E13" s="2" t="s">
        <v>26</v>
      </c>
      <c r="F13" s="3" t="s">
        <v>27</v>
      </c>
      <c r="G13" s="3">
        <v>50</v>
      </c>
      <c r="H13" s="2" t="s">
        <v>28</v>
      </c>
      <c r="I13" s="2" t="s">
        <v>29</v>
      </c>
      <c r="J13" s="2" t="str">
        <f t="shared" si="0"/>
        <v>('11','Lata de refrigerante (350ml)','5.50','50','../img/refrigerante.jpg','img/refrigerante.jpg'),</v>
      </c>
    </row>
    <row r="14" spans="1:13" ht="30" x14ac:dyDescent="0.25">
      <c r="A14" s="3">
        <v>1</v>
      </c>
      <c r="B14" s="2" t="s">
        <v>0</v>
      </c>
      <c r="C14" s="2" t="s">
        <v>102</v>
      </c>
      <c r="D14" s="2">
        <v>13</v>
      </c>
      <c r="E14" s="2" t="s">
        <v>1</v>
      </c>
      <c r="F14" s="3" t="s">
        <v>2</v>
      </c>
      <c r="G14" s="3">
        <v>50</v>
      </c>
      <c r="H14" s="2" t="s">
        <v>3</v>
      </c>
      <c r="I14" s="2" t="s">
        <v>4</v>
      </c>
      <c r="J14" s="2" t="str">
        <f t="shared" si="0"/>
        <v>('13','Salgadinho assado recheado com queijo','7.50','50','../img/salgadinho-queijo.jpg','img/salgadinho-queijo.jpg'),</v>
      </c>
    </row>
    <row r="15" spans="1:13" x14ac:dyDescent="0.25">
      <c r="A15" s="3">
        <v>2</v>
      </c>
      <c r="B15" s="2" t="s">
        <v>5</v>
      </c>
      <c r="C15" s="2" t="s">
        <v>102</v>
      </c>
      <c r="D15" s="2">
        <v>14</v>
      </c>
      <c r="E15" s="2" t="s">
        <v>6</v>
      </c>
      <c r="F15" s="3" t="s">
        <v>7</v>
      </c>
      <c r="G15" s="3">
        <v>30</v>
      </c>
      <c r="H15" s="2" t="s">
        <v>8</v>
      </c>
      <c r="I15" s="2" t="s">
        <v>9</v>
      </c>
      <c r="J15" s="2" t="str">
        <f t="shared" si="0"/>
        <v>('14','Coxinha de frango','4.00','30','../img/coxinha.jpg','img/coxinha.jpg'),</v>
      </c>
    </row>
    <row r="16" spans="1:13" ht="30" x14ac:dyDescent="0.25">
      <c r="A16" s="3">
        <v>3</v>
      </c>
      <c r="B16" s="2" t="s">
        <v>10</v>
      </c>
      <c r="C16" s="2" t="s">
        <v>102</v>
      </c>
      <c r="D16" s="2">
        <v>14</v>
      </c>
      <c r="E16" s="2" t="s">
        <v>11</v>
      </c>
      <c r="F16" s="3" t="s">
        <v>12</v>
      </c>
      <c r="G16" s="3">
        <v>40</v>
      </c>
      <c r="H16" s="2" t="s">
        <v>13</v>
      </c>
      <c r="I16" s="2" t="s">
        <v>14</v>
      </c>
      <c r="J16" s="2" t="str">
        <f t="shared" si="0"/>
        <v>('14','Pastel assado com recheio de carne','5.00','40','../img/pastel.jpg','img/pastel.jpg'),</v>
      </c>
    </row>
    <row r="17" spans="1:10" x14ac:dyDescent="0.25">
      <c r="A17" s="3">
        <v>4</v>
      </c>
      <c r="B17" s="2" t="s">
        <v>15</v>
      </c>
      <c r="C17" s="2" t="s">
        <v>102</v>
      </c>
      <c r="D17" s="2">
        <v>13</v>
      </c>
      <c r="E17" s="2" t="s">
        <v>16</v>
      </c>
      <c r="F17" s="3" t="s">
        <v>17</v>
      </c>
      <c r="G17" s="3">
        <v>100</v>
      </c>
      <c r="H17" s="2" t="s">
        <v>18</v>
      </c>
      <c r="I17" s="2" t="s">
        <v>19</v>
      </c>
      <c r="J17" s="2" t="str">
        <f t="shared" si="0"/>
        <v>('13','Pão de queijo tradicional','2.50','100','../img/paodequeijo.jpg','img/paodequeijo.jpg'),</v>
      </c>
    </row>
    <row r="18" spans="1:10" x14ac:dyDescent="0.25">
      <c r="A18" s="3">
        <v>14</v>
      </c>
      <c r="B18" s="2" t="s">
        <v>62</v>
      </c>
      <c r="C18" s="2" t="s">
        <v>102</v>
      </c>
      <c r="D18" s="2">
        <v>14</v>
      </c>
      <c r="E18" s="2" t="s">
        <v>63</v>
      </c>
      <c r="F18" s="3" t="s">
        <v>17</v>
      </c>
      <c r="G18" s="3">
        <v>50</v>
      </c>
      <c r="H18" s="2" t="s">
        <v>64</v>
      </c>
      <c r="I18" s="2" t="s">
        <v>65</v>
      </c>
      <c r="J18" s="2" t="str">
        <f>"('"&amp;D18&amp;"',"&amp;"'"&amp;E18&amp;"',"&amp;"'"&amp;F18&amp;"',"&amp;"'"&amp;G18&amp;"',"&amp;"'"&amp;H18&amp;"',"&amp;"'"&amp;I18&amp;"'),"</f>
        <v>('14','Pipoca doce ou salgada','2.50','50','../img/pipoca.jpg','img/pipoca.jpg'),</v>
      </c>
    </row>
    <row r="19" spans="1:10" x14ac:dyDescent="0.25">
      <c r="A19" s="3">
        <v>16</v>
      </c>
      <c r="B19" s="2" t="s">
        <v>70</v>
      </c>
      <c r="C19" s="2" t="s">
        <v>102</v>
      </c>
      <c r="D19" s="2">
        <v>13</v>
      </c>
      <c r="E19" s="2" t="s">
        <v>71</v>
      </c>
      <c r="F19" s="3" t="s">
        <v>27</v>
      </c>
      <c r="G19" s="3">
        <v>15</v>
      </c>
      <c r="H19" s="2" t="s">
        <v>72</v>
      </c>
      <c r="I19" s="2" t="s">
        <v>73</v>
      </c>
      <c r="J19" s="2" t="str">
        <f t="shared" si="0"/>
        <v>('13','Fatia de torta de frango','5.50','15','../img/torta.jpg','img/torta.jpg'),</v>
      </c>
    </row>
    <row r="20" spans="1:10" x14ac:dyDescent="0.25">
      <c r="A20" s="3">
        <v>17</v>
      </c>
      <c r="B20" s="2" t="s">
        <v>74</v>
      </c>
      <c r="C20" s="2" t="s">
        <v>102</v>
      </c>
      <c r="D20" s="2">
        <v>13</v>
      </c>
      <c r="E20" s="2" t="s">
        <v>75</v>
      </c>
      <c r="F20" s="3" t="s">
        <v>22</v>
      </c>
      <c r="G20" s="3">
        <v>10</v>
      </c>
      <c r="H20" s="2" t="s">
        <v>76</v>
      </c>
      <c r="I20" s="2" t="s">
        <v>77</v>
      </c>
      <c r="J20" s="2" t="str">
        <f t="shared" si="0"/>
        <v>('13','Fatia de pizza de mussarela','6.00','10','../img/pizza.jpg','img/pizza.jpg'),</v>
      </c>
    </row>
    <row r="21" spans="1:10" x14ac:dyDescent="0.25">
      <c r="A21" s="3">
        <v>5</v>
      </c>
      <c r="B21" s="2" t="s">
        <v>20</v>
      </c>
      <c r="C21" s="2" t="s">
        <v>103</v>
      </c>
      <c r="D21" s="2">
        <v>15</v>
      </c>
      <c r="E21" s="2" t="s">
        <v>21</v>
      </c>
      <c r="F21" s="3" t="s">
        <v>22</v>
      </c>
      <c r="G21" s="3">
        <v>20</v>
      </c>
      <c r="H21" s="2" t="s">
        <v>23</v>
      </c>
      <c r="I21" s="2" t="s">
        <v>24</v>
      </c>
      <c r="J21" s="2" t="str">
        <f t="shared" si="0"/>
        <v>('15','Suco natural de laranja','6.00','20','../img/suco.jpg','img/suco.jpg'),</v>
      </c>
    </row>
    <row r="22" spans="1:10" x14ac:dyDescent="0.25">
      <c r="B22" t="str">
        <f>E22</f>
        <v>Kitcat</v>
      </c>
      <c r="C22">
        <v>2</v>
      </c>
      <c r="D22" s="2">
        <v>3</v>
      </c>
      <c r="E22" s="2" t="s">
        <v>106</v>
      </c>
      <c r="F22" s="3" t="s">
        <v>12</v>
      </c>
      <c r="G22" s="3">
        <v>30</v>
      </c>
      <c r="H22" t="str">
        <f>_xlfn.XLOOKUP(E22,Planilha1!A:A,Planilha1!B:B)</f>
        <v xml:space="preserve">../img/kitcat.jpg </v>
      </c>
      <c r="I22" t="str">
        <f>_xlfn.XLOOKUP(E22,Planilha1!A:A,Planilha1!C:C)</f>
        <v xml:space="preserve">img/kitcat.jpg </v>
      </c>
      <c r="J22" s="2" t="str">
        <f t="shared" si="0"/>
        <v>('3','Kitcat','5.00','30','../img/kitcat.jpg ','img/kitcat.jpg '),</v>
      </c>
    </row>
    <row r="23" spans="1:10" x14ac:dyDescent="0.25">
      <c r="B23" s="2" t="s">
        <v>223</v>
      </c>
      <c r="C23">
        <v>2</v>
      </c>
      <c r="D23" s="2">
        <v>3</v>
      </c>
      <c r="E23" s="2" t="s">
        <v>108</v>
      </c>
      <c r="F23" s="3" t="s">
        <v>107</v>
      </c>
      <c r="G23" s="3">
        <v>50</v>
      </c>
      <c r="H23" t="str">
        <f>_xlfn.XLOOKUP(E23,Planilha1!A:A,Planilha1!B:B)</f>
        <v xml:space="preserve">../img/trento avelas.jpg </v>
      </c>
      <c r="I23" t="str">
        <f>_xlfn.XLOOKUP(E23,Planilha1!A:A,Planilha1!C:C)</f>
        <v xml:space="preserve">img/trento avelas.jpg </v>
      </c>
      <c r="J23" s="2" t="str">
        <f t="shared" si="0"/>
        <v>('3','Trento Avelã','8.50','50','../img/trento avelas.jpg ','img/trento avelas.jpg '),</v>
      </c>
    </row>
    <row r="24" spans="1:10" x14ac:dyDescent="0.25">
      <c r="B24" s="2" t="s">
        <v>223</v>
      </c>
      <c r="C24">
        <v>2</v>
      </c>
      <c r="D24" s="2">
        <v>3</v>
      </c>
      <c r="E24" s="2" t="s">
        <v>109</v>
      </c>
      <c r="F24" s="3" t="s">
        <v>107</v>
      </c>
      <c r="G24" s="3">
        <v>50</v>
      </c>
      <c r="H24" t="str">
        <f>_xlfn.XLOOKUP(E24,Planilha1!A:A,Planilha1!B:B)</f>
        <v xml:space="preserve">../img/trento dark.jpg </v>
      </c>
      <c r="I24" t="str">
        <f>_xlfn.XLOOKUP(E24,Planilha1!A:A,Planilha1!C:C)</f>
        <v xml:space="preserve">img/trento dark.jpg </v>
      </c>
      <c r="J24" s="2" t="str">
        <f t="shared" si="0"/>
        <v>('3','Trento Drak','8.50','50','../img/trento dark.jpg ','img/trento dark.jpg '),</v>
      </c>
    </row>
    <row r="25" spans="1:10" x14ac:dyDescent="0.25">
      <c r="B25" s="2" t="s">
        <v>223</v>
      </c>
      <c r="C25">
        <v>2</v>
      </c>
      <c r="D25" s="2">
        <v>3</v>
      </c>
      <c r="E25" s="2" t="s">
        <v>110</v>
      </c>
      <c r="F25" s="3" t="s">
        <v>107</v>
      </c>
      <c r="G25" s="3">
        <v>50</v>
      </c>
      <c r="H25" t="str">
        <f>_xlfn.XLOOKUP(E25,Planilha1!A:A,Planilha1!B:B)</f>
        <v xml:space="preserve">../img/trento Caramelo.jpg </v>
      </c>
      <c r="I25" t="str">
        <f>_xlfn.XLOOKUP(E25,Planilha1!A:A,Planilha1!C:C)</f>
        <v xml:space="preserve">img/trento Caramelo.jpg </v>
      </c>
      <c r="J25" s="2" t="str">
        <f t="shared" si="0"/>
        <v>('3','Trento Camarelo','8.50','50','../img/trento Caramelo.jpg ','img/trento Caramelo.jpg '),</v>
      </c>
    </row>
    <row r="26" spans="1:10" x14ac:dyDescent="0.25">
      <c r="B26" s="2" t="s">
        <v>223</v>
      </c>
      <c r="C26">
        <v>2</v>
      </c>
      <c r="D26" s="2">
        <v>3</v>
      </c>
      <c r="E26" t="s">
        <v>111</v>
      </c>
      <c r="F26" s="3" t="s">
        <v>107</v>
      </c>
      <c r="G26" s="3">
        <v>50</v>
      </c>
      <c r="H26" t="str">
        <f>_xlfn.XLOOKUP(E26,Planilha1!A:A,Planilha1!B:B)</f>
        <v xml:space="preserve">../img/trento morango.jpg </v>
      </c>
      <c r="I26" t="str">
        <f>_xlfn.XLOOKUP(E26,Planilha1!A:A,Planilha1!C:C)</f>
        <v xml:space="preserve">img/trento morango.jpg </v>
      </c>
      <c r="J26" s="2" t="str">
        <f t="shared" si="0"/>
        <v>('3','Trento Morango','8.50','50','../img/trento morango.jpg ','img/trento morango.jpg '),</v>
      </c>
    </row>
    <row r="27" spans="1:10" x14ac:dyDescent="0.25">
      <c r="B27" s="2" t="s">
        <v>223</v>
      </c>
      <c r="C27">
        <v>2</v>
      </c>
      <c r="D27" s="2">
        <v>3</v>
      </c>
      <c r="E27" t="s">
        <v>112</v>
      </c>
      <c r="F27" s="3" t="s">
        <v>107</v>
      </c>
      <c r="G27" s="3">
        <v>50</v>
      </c>
      <c r="H27" t="str">
        <f>_xlfn.XLOOKUP(E27,Planilha1!A:A,Planilha1!B:B)</f>
        <v xml:space="preserve">../img/trento cheese morango.jpg </v>
      </c>
      <c r="I27" t="str">
        <f>_xlfn.XLOOKUP(E27,Planilha1!A:A,Planilha1!C:C)</f>
        <v xml:space="preserve">img/trento cheese morango.jpg </v>
      </c>
      <c r="J27" s="2" t="str">
        <f t="shared" si="0"/>
        <v>('3','Trento Cheesse Morango','8.50','50','../img/trento cheese morango.jpg ','img/trento cheese morango.jpg '),</v>
      </c>
    </row>
    <row r="28" spans="1:10" x14ac:dyDescent="0.25">
      <c r="B28" s="2" t="s">
        <v>223</v>
      </c>
      <c r="C28">
        <v>2</v>
      </c>
      <c r="D28" s="2">
        <v>3</v>
      </c>
      <c r="E28" t="s">
        <v>113</v>
      </c>
      <c r="F28" s="3" t="s">
        <v>107</v>
      </c>
      <c r="G28" s="3">
        <v>50</v>
      </c>
      <c r="H28" t="str">
        <f>_xlfn.XLOOKUP(E28,Planilha1!A:A,Planilha1!B:B)</f>
        <v xml:space="preserve">../img/trento chocolate 38.jpg </v>
      </c>
      <c r="I28" t="str">
        <f>_xlfn.XLOOKUP(E28,Planilha1!A:A,Planilha1!C:C)</f>
        <v xml:space="preserve">img/trento chocolate 38.jpg </v>
      </c>
      <c r="J28" s="2" t="str">
        <f t="shared" si="0"/>
        <v>('3','Trento Chocolate','8.50','50','../img/trento chocolate 38.jpg ','img/trento chocolate 38.jpg '),</v>
      </c>
    </row>
    <row r="29" spans="1:10" x14ac:dyDescent="0.25">
      <c r="B29" s="2" t="s">
        <v>223</v>
      </c>
      <c r="C29">
        <v>2</v>
      </c>
      <c r="D29" s="2">
        <v>3</v>
      </c>
      <c r="E29" t="s">
        <v>114</v>
      </c>
      <c r="F29" s="3" t="s">
        <v>107</v>
      </c>
      <c r="G29" s="3">
        <v>50</v>
      </c>
      <c r="H29" t="str">
        <f>_xlfn.XLOOKUP(E29,Planilha1!A:A,Planilha1!B:B)</f>
        <v xml:space="preserve">../img/trento branco-drak.jpg </v>
      </c>
      <c r="I29" t="str">
        <f>_xlfn.XLOOKUP(E29,Planilha1!A:A,Planilha1!C:C)</f>
        <v xml:space="preserve">img/trento branco-drak.jpg </v>
      </c>
      <c r="J29" s="2" t="str">
        <f t="shared" si="0"/>
        <v>('3','Trento Branco Dark','8.50','50','../img/trento branco-drak.jpg ','img/trento branco-drak.jpg '),</v>
      </c>
    </row>
    <row r="30" spans="1:10" x14ac:dyDescent="0.25">
      <c r="B30" s="2" t="s">
        <v>223</v>
      </c>
      <c r="C30">
        <v>2</v>
      </c>
      <c r="D30" s="2">
        <v>3</v>
      </c>
      <c r="E30" t="s">
        <v>115</v>
      </c>
      <c r="F30" s="3" t="s">
        <v>107</v>
      </c>
      <c r="G30" s="3">
        <v>50</v>
      </c>
      <c r="H30" t="str">
        <f>_xlfn.XLOOKUP(E30,Planilha1!A:A,Planilha1!B:B)</f>
        <v xml:space="preserve">../img/trento duo.jpg </v>
      </c>
      <c r="I30" t="str">
        <f>_xlfn.XLOOKUP(E30,Planilha1!A:A,Planilha1!C:C)</f>
        <v xml:space="preserve">img/trento duo.jpg </v>
      </c>
      <c r="J30" s="2" t="str">
        <f t="shared" si="0"/>
        <v>('3','Trento Duo','8.50','50','../img/trento duo.jpg ','img/trento duo.jpg '),</v>
      </c>
    </row>
    <row r="31" spans="1:10" x14ac:dyDescent="0.25">
      <c r="B31" s="2" t="s">
        <v>223</v>
      </c>
      <c r="C31">
        <v>2</v>
      </c>
      <c r="D31" s="2">
        <v>3</v>
      </c>
      <c r="E31" t="s">
        <v>116</v>
      </c>
      <c r="F31" s="3" t="s">
        <v>107</v>
      </c>
      <c r="G31" s="3">
        <v>50</v>
      </c>
      <c r="H31" t="str">
        <f>_xlfn.XLOOKUP(E31,Planilha1!A:A,Planilha1!B:B)</f>
        <v xml:space="preserve">../img/trento limao.jpg </v>
      </c>
      <c r="I31" t="str">
        <f>_xlfn.XLOOKUP(E31,Planilha1!A:A,Planilha1!C:C)</f>
        <v xml:space="preserve">img/trento limao.jpg </v>
      </c>
      <c r="J31" s="2" t="str">
        <f t="shared" si="0"/>
        <v>('3','Trento Limão','8.50','50','../img/trento limao.jpg ','img/trento limao.jpg '),</v>
      </c>
    </row>
    <row r="32" spans="1:10" x14ac:dyDescent="0.25">
      <c r="B32" s="2" t="s">
        <v>223</v>
      </c>
      <c r="C32">
        <v>2</v>
      </c>
      <c r="D32" s="2">
        <v>3</v>
      </c>
      <c r="E32" t="s">
        <v>117</v>
      </c>
      <c r="F32" s="3" t="s">
        <v>107</v>
      </c>
      <c r="G32" s="3">
        <v>50</v>
      </c>
      <c r="H32" t="str">
        <f>_xlfn.XLOOKUP(E32,Planilha1!A:A,Planilha1!B:B)</f>
        <v xml:space="preserve">../img/trento maracuja.jpg </v>
      </c>
      <c r="I32" t="str">
        <f>_xlfn.XLOOKUP(E32,Planilha1!A:A,Planilha1!C:C)</f>
        <v xml:space="preserve">img/trento maracuja.jpg </v>
      </c>
      <c r="J32" s="2" t="str">
        <f t="shared" si="0"/>
        <v>('3','Trento Maracujá','8.50','50','../img/trento maracuja.jpg ','img/trento maracuja.jpg '),</v>
      </c>
    </row>
    <row r="33" spans="2:10" x14ac:dyDescent="0.25">
      <c r="B33" s="2" t="s">
        <v>223</v>
      </c>
      <c r="C33">
        <v>2</v>
      </c>
      <c r="D33" s="2">
        <v>3</v>
      </c>
      <c r="E33" t="s">
        <v>118</v>
      </c>
      <c r="F33" s="3" t="s">
        <v>107</v>
      </c>
      <c r="G33" s="3">
        <v>50</v>
      </c>
      <c r="H33" t="str">
        <f>_xlfn.XLOOKUP(E33,Planilha1!A:A,Planilha1!B:B)</f>
        <v xml:space="preserve">../img/trento milk.jpg </v>
      </c>
      <c r="I33" t="str">
        <f>_xlfn.XLOOKUP(E33,Planilha1!A:A,Planilha1!C:C)</f>
        <v xml:space="preserve">img/trento milk.jpg </v>
      </c>
      <c r="J33" s="2" t="str">
        <f t="shared" si="0"/>
        <v>('3','Trento Milk','8.50','50','../img/trento milk.jpg ','img/trento milk.jpg '),</v>
      </c>
    </row>
    <row r="34" spans="2:10" x14ac:dyDescent="0.25">
      <c r="B34" s="2" t="s">
        <v>223</v>
      </c>
      <c r="C34">
        <v>2</v>
      </c>
      <c r="D34" s="2">
        <v>3</v>
      </c>
      <c r="E34" t="s">
        <v>119</v>
      </c>
      <c r="F34" s="3" t="s">
        <v>107</v>
      </c>
      <c r="G34" s="3">
        <v>50</v>
      </c>
      <c r="H34" t="str">
        <f>_xlfn.XLOOKUP(E34,Planilha1!A:A,Planilha1!B:B)</f>
        <v xml:space="preserve">../img/trento trufa Maçã .jpg </v>
      </c>
      <c r="I34" t="str">
        <f>_xlfn.XLOOKUP(E34,Planilha1!A:A,Planilha1!C:C)</f>
        <v xml:space="preserve">img/trento trufa Maçã.jpg </v>
      </c>
      <c r="J34" s="2" t="str">
        <f t="shared" si="0"/>
        <v>('3','Trento Trufa de Maçã','8.50','50','../img/trento trufa Maçã .jpg ','img/trento trufa Maçã.jpg '),</v>
      </c>
    </row>
    <row r="35" spans="2:10" x14ac:dyDescent="0.25">
      <c r="B35" s="2" t="s">
        <v>223</v>
      </c>
      <c r="C35">
        <v>2</v>
      </c>
      <c r="D35" s="2">
        <v>3</v>
      </c>
      <c r="E35" t="s">
        <v>120</v>
      </c>
      <c r="F35" s="3" t="s">
        <v>107</v>
      </c>
      <c r="G35" s="3">
        <v>50</v>
      </c>
      <c r="H35" t="str">
        <f>_xlfn.XLOOKUP(E35,Planilha1!A:A,Planilha1!B:B)</f>
        <v xml:space="preserve">../img/trento turfa de chocolate.jpg </v>
      </c>
      <c r="I35" t="str">
        <f>_xlfn.XLOOKUP(E35,Planilha1!A:A,Planilha1!C:C)</f>
        <v xml:space="preserve">img/trento turfa de chocolate.jpg </v>
      </c>
      <c r="J35" s="2" t="str">
        <f t="shared" si="0"/>
        <v>('3','Trento Trufa de Chocolate','8.50','50','../img/trento turfa de chocolate.jpg ','img/trento turfa de chocolate.jpg '),</v>
      </c>
    </row>
    <row r="36" spans="2:10" x14ac:dyDescent="0.25">
      <c r="B36" s="2" t="s">
        <v>224</v>
      </c>
      <c r="C36">
        <v>9</v>
      </c>
      <c r="D36" s="2">
        <v>16</v>
      </c>
      <c r="E36" t="s">
        <v>121</v>
      </c>
      <c r="F36" s="3" t="s">
        <v>22</v>
      </c>
      <c r="G36" s="3">
        <v>100</v>
      </c>
      <c r="H36" t="str">
        <f>_xlfn.XLOOKUP(E36,Planilha1!A:A,Planilha1!B:B)</f>
        <v xml:space="preserve">../img/barra nutry avela.jpg </v>
      </c>
      <c r="I36" t="str">
        <f>_xlfn.XLOOKUP(E36,Planilha1!A:A,Planilha1!C:C)</f>
        <v xml:space="preserve">img/barra nutry avela.jpg </v>
      </c>
      <c r="J36" s="2" t="str">
        <f t="shared" si="0"/>
        <v>('16','Barra Nutry Avelãs','6.00','100','../img/barra nutry avela.jpg ','img/barra nutry avela.jpg '),</v>
      </c>
    </row>
    <row r="37" spans="2:10" x14ac:dyDescent="0.25">
      <c r="B37" s="2" t="s">
        <v>224</v>
      </c>
      <c r="C37">
        <v>9</v>
      </c>
      <c r="D37" s="2">
        <v>16</v>
      </c>
      <c r="E37" t="s">
        <v>123</v>
      </c>
      <c r="F37" s="3" t="s">
        <v>22</v>
      </c>
      <c r="G37" s="3">
        <v>100</v>
      </c>
      <c r="H37" t="str">
        <f>_xlfn.XLOOKUP(E37,Planilha1!A:A,Planilha1!B:B)</f>
        <v xml:space="preserve">../img/barra nutry banana.jpg </v>
      </c>
      <c r="I37" t="str">
        <f>_xlfn.XLOOKUP(E37,Planilha1!A:A,Planilha1!C:C)</f>
        <v xml:space="preserve">img/barra nutry banana.jpg </v>
      </c>
      <c r="J37" s="2" t="str">
        <f t="shared" si="0"/>
        <v>('16','Barra Nutry Banana','6.00','100','../img/barra nutry banana.jpg ','img/barra nutry banana.jpg '),</v>
      </c>
    </row>
    <row r="38" spans="2:10" x14ac:dyDescent="0.25">
      <c r="B38" s="2" t="s">
        <v>224</v>
      </c>
      <c r="C38">
        <v>9</v>
      </c>
      <c r="D38" s="2">
        <v>16</v>
      </c>
      <c r="E38" t="s">
        <v>124</v>
      </c>
      <c r="F38" s="3" t="s">
        <v>22</v>
      </c>
      <c r="G38" s="3">
        <v>100</v>
      </c>
      <c r="H38" t="str">
        <f>_xlfn.XLOOKUP(E38,Planilha1!A:A,Planilha1!B:B)</f>
        <v xml:space="preserve">../img/barra nutry caju.jpg </v>
      </c>
      <c r="I38" t="str">
        <f>_xlfn.XLOOKUP(E38,Planilha1!A:A,Planilha1!C:C)</f>
        <v xml:space="preserve">img/barra nutry caju.jpg </v>
      </c>
      <c r="J38" s="2" t="str">
        <f t="shared" si="0"/>
        <v>('16','Barra Nutry Cajú','6.00','100','../img/barra nutry caju.jpg ','img/barra nutry caju.jpg '),</v>
      </c>
    </row>
    <row r="39" spans="2:10" x14ac:dyDescent="0.25">
      <c r="B39" s="2" t="s">
        <v>224</v>
      </c>
      <c r="C39">
        <v>9</v>
      </c>
      <c r="D39" s="2">
        <v>16</v>
      </c>
      <c r="E39" t="s">
        <v>125</v>
      </c>
      <c r="F39" s="3" t="s">
        <v>22</v>
      </c>
      <c r="G39" s="3">
        <v>100</v>
      </c>
      <c r="H39" t="str">
        <f>_xlfn.XLOOKUP(E39,Planilha1!A:A,Planilha1!B:B)</f>
        <v xml:space="preserve">../img/barra nutry cappuccino.jpg </v>
      </c>
      <c r="I39" t="str">
        <f>_xlfn.XLOOKUP(E39,Planilha1!A:A,Planilha1!C:C)</f>
        <v xml:space="preserve">img/barra nutry cappuccino.jpg </v>
      </c>
      <c r="J39" s="2" t="str">
        <f t="shared" si="0"/>
        <v>('16','Barra Nutry Cappucino','6.00','100','../img/barra nutry cappuccino.jpg ','img/barra nutry cappuccino.jpg '),</v>
      </c>
    </row>
    <row r="40" spans="2:10" x14ac:dyDescent="0.25">
      <c r="B40" s="2" t="s">
        <v>224</v>
      </c>
      <c r="C40">
        <v>9</v>
      </c>
      <c r="D40" s="2">
        <v>16</v>
      </c>
      <c r="E40" t="s">
        <v>126</v>
      </c>
      <c r="F40" s="3" t="s">
        <v>22</v>
      </c>
      <c r="G40" s="3">
        <v>100</v>
      </c>
      <c r="H40" t="str">
        <f>_xlfn.XLOOKUP(E40,Planilha1!A:A,Planilha1!B:B)</f>
        <v xml:space="preserve">../img/barra nutry coco.jpg </v>
      </c>
      <c r="I40" t="str">
        <f>_xlfn.XLOOKUP(E40,Planilha1!A:A,Planilha1!C:C)</f>
        <v xml:space="preserve">img/barra nutry coco.jpg </v>
      </c>
      <c r="J40" s="2" t="str">
        <f t="shared" si="0"/>
        <v>('16','Barra Nutry Coco','6.00','100','../img/barra nutry coco.jpg ','img/barra nutry coco.jpg '),</v>
      </c>
    </row>
    <row r="41" spans="2:10" x14ac:dyDescent="0.25">
      <c r="B41" s="2" t="s">
        <v>224</v>
      </c>
      <c r="C41">
        <v>9</v>
      </c>
      <c r="D41" s="2">
        <v>16</v>
      </c>
      <c r="E41" t="s">
        <v>127</v>
      </c>
      <c r="F41" s="3" t="s">
        <v>22</v>
      </c>
      <c r="G41" s="3">
        <v>100</v>
      </c>
      <c r="H41" t="str">
        <f>_xlfn.XLOOKUP(E41,Planilha1!A:A,Planilha1!B:B)</f>
        <v xml:space="preserve">../img/barra nutry cookies.jpg </v>
      </c>
      <c r="I41" t="str">
        <f>_xlfn.XLOOKUP(E41,Planilha1!A:A,Planilha1!C:C)</f>
        <v xml:space="preserve">img/barra nutry cookies.jpg </v>
      </c>
      <c r="J41" s="2" t="str">
        <f t="shared" si="0"/>
        <v>('16','Barra Nutry Cookies','6.00','100','../img/barra nutry cookies.jpg ','img/barra nutry cookies.jpg '),</v>
      </c>
    </row>
    <row r="42" spans="2:10" x14ac:dyDescent="0.25">
      <c r="B42" s="2" t="s">
        <v>224</v>
      </c>
      <c r="C42">
        <v>9</v>
      </c>
      <c r="D42" s="2">
        <v>16</v>
      </c>
      <c r="E42" t="s">
        <v>128</v>
      </c>
      <c r="F42" s="3" t="s">
        <v>22</v>
      </c>
      <c r="G42" s="3">
        <v>100</v>
      </c>
      <c r="H42" t="str">
        <f>_xlfn.XLOOKUP(E42,Planilha1!A:A,Planilha1!B:B)</f>
        <v xml:space="preserve">../img/barra nutry frutas-vermelhas.jpg </v>
      </c>
      <c r="I42" t="str">
        <f>_xlfn.XLOOKUP(E42,Planilha1!A:A,Planilha1!C:C)</f>
        <v xml:space="preserve">img/barra nutry frutas-vermelhas.jpg </v>
      </c>
      <c r="J42" s="2" t="str">
        <f t="shared" si="0"/>
        <v>('16','Barra Nutry Frutas- Vermelhas','6.00','100','../img/barra nutry frutas-vermelhas.jpg ','img/barra nutry frutas-vermelhas.jpg '),</v>
      </c>
    </row>
    <row r="43" spans="2:10" x14ac:dyDescent="0.25">
      <c r="B43" s="2" t="s">
        <v>224</v>
      </c>
      <c r="C43">
        <v>9</v>
      </c>
      <c r="D43" s="2">
        <v>16</v>
      </c>
      <c r="E43" t="s">
        <v>122</v>
      </c>
      <c r="F43" s="3" t="s">
        <v>22</v>
      </c>
      <c r="G43" s="3">
        <v>100</v>
      </c>
      <c r="H43" t="str">
        <f>_xlfn.XLOOKUP(E43,Planilha1!A:A,Planilha1!B:B)</f>
        <v xml:space="preserve">../img/barra nutry morango.jpg </v>
      </c>
      <c r="I43" t="str">
        <f>_xlfn.XLOOKUP(E43,Planilha1!A:A,Planilha1!C:C)</f>
        <v xml:space="preserve">img/barra nutry morango.jpg </v>
      </c>
      <c r="J43" s="2" t="str">
        <f t="shared" si="0"/>
        <v>('16','Barra Nutry Morango','6.00','100','../img/barra nutry morango.jpg ','img/barra nutry morango.jpg '),</v>
      </c>
    </row>
    <row r="44" spans="2:10" x14ac:dyDescent="0.25">
      <c r="B44" s="2" t="s">
        <v>58</v>
      </c>
      <c r="C44">
        <v>1</v>
      </c>
      <c r="D44" s="2">
        <v>6</v>
      </c>
      <c r="E44" t="s">
        <v>129</v>
      </c>
      <c r="F44" s="3" t="s">
        <v>132</v>
      </c>
      <c r="G44" s="3">
        <v>30</v>
      </c>
      <c r="H44" t="str">
        <f>_xlfn.XLOOKUP(E44,Planilha1!A:A,Planilha1!B:B)</f>
        <v xml:space="preserve">../img/nikito chocolate.jpeg </v>
      </c>
      <c r="I44" t="str">
        <f>_xlfn.XLOOKUP(E44,Planilha1!A:A,Planilha1!C:C)</f>
        <v xml:space="preserve">img/nikito chocolate.jpeg </v>
      </c>
      <c r="J44" s="2" t="str">
        <f t="shared" si="0"/>
        <v>('6','Biscoito  Nikito Chocolate ','18.00','30','../img/nikito chocolate.jpeg ','img/nikito chocolate.jpeg '),</v>
      </c>
    </row>
    <row r="45" spans="2:10" x14ac:dyDescent="0.25">
      <c r="B45" s="2" t="s">
        <v>58</v>
      </c>
      <c r="C45">
        <v>1</v>
      </c>
      <c r="D45" s="2">
        <v>6</v>
      </c>
      <c r="E45" t="s">
        <v>130</v>
      </c>
      <c r="F45" s="3" t="s">
        <v>132</v>
      </c>
      <c r="G45" s="3">
        <v>30</v>
      </c>
      <c r="H45" t="str">
        <f>_xlfn.XLOOKUP(E45,Planilha1!A:A,Planilha1!B:B)</f>
        <v xml:space="preserve">../img/nikito doce leite.jpeg </v>
      </c>
      <c r="I45" t="str">
        <f>_xlfn.XLOOKUP(E45,Planilha1!A:A,Planilha1!C:C)</f>
        <v xml:space="preserve">img/nikito doce leite.jpeg </v>
      </c>
      <c r="J45" s="2" t="str">
        <f t="shared" si="0"/>
        <v>('6','Biscoito  Nikito Doce de Leite','18.00','30','../img/nikito doce leite.jpeg ','img/nikito doce leite.jpeg '),</v>
      </c>
    </row>
    <row r="46" spans="2:10" x14ac:dyDescent="0.25">
      <c r="B46" s="2" t="s">
        <v>58</v>
      </c>
      <c r="C46">
        <v>1</v>
      </c>
      <c r="D46" s="2">
        <v>6</v>
      </c>
      <c r="E46" t="s">
        <v>131</v>
      </c>
      <c r="F46" s="3" t="s">
        <v>132</v>
      </c>
      <c r="G46" s="3">
        <v>30</v>
      </c>
      <c r="H46" t="str">
        <f>_xlfn.XLOOKUP(E46,Planilha1!A:A,Planilha1!B:B)</f>
        <v xml:space="preserve">../img/nikito morango.jpeg </v>
      </c>
      <c r="I46" t="str">
        <f>_xlfn.XLOOKUP(E46,Planilha1!A:A,Planilha1!C:C)</f>
        <v xml:space="preserve">img/nikito morango.jpeg </v>
      </c>
      <c r="J46" s="2" t="str">
        <f t="shared" si="0"/>
        <v>('6','Biscoito  Nikito Morango','18.00','30','../img/nikito morango.jpeg ','img/nikito morango.jpeg '),</v>
      </c>
    </row>
    <row r="47" spans="2:10" x14ac:dyDescent="0.25">
      <c r="B47" s="2" t="s">
        <v>225</v>
      </c>
      <c r="C47">
        <v>1</v>
      </c>
      <c r="D47" s="2">
        <v>4</v>
      </c>
      <c r="E47" t="s">
        <v>134</v>
      </c>
      <c r="F47" s="3" t="s">
        <v>2</v>
      </c>
      <c r="G47" s="3">
        <v>50</v>
      </c>
      <c r="H47" t="str">
        <f>_xlfn.XLOOKUP(E47,Planilha1!A:A,Planilha1!B:B)</f>
        <v xml:space="preserve">../img/tubes fini azedinhos fru_silveste.jpg </v>
      </c>
      <c r="I47" t="str">
        <f>_xlfn.XLOOKUP(E47,Planilha1!A:A,Planilha1!C:C)</f>
        <v xml:space="preserve">img/tubes fini azedinhos fru_silveste.jpg </v>
      </c>
      <c r="J47" s="2" t="str">
        <f t="shared" si="0"/>
        <v>('4','Tubes Fini Azedinhos Furtas Silveste','7.50','50','../img/tubes fini azedinhos fru_silveste.jpg ','img/tubes fini azedinhos fru_silveste.jpg '),</v>
      </c>
    </row>
    <row r="48" spans="2:10" x14ac:dyDescent="0.25">
      <c r="B48" s="2" t="s">
        <v>225</v>
      </c>
      <c r="C48">
        <v>1</v>
      </c>
      <c r="D48" s="2">
        <v>4</v>
      </c>
      <c r="E48" t="s">
        <v>135</v>
      </c>
      <c r="F48" s="3" t="s">
        <v>2</v>
      </c>
      <c r="G48" s="3">
        <v>50</v>
      </c>
      <c r="H48" t="str">
        <f>_xlfn.XLOOKUP(E48,Planilha1!A:A,Planilha1!B:B)</f>
        <v xml:space="preserve">../img/tubes fini azedinhos tuttifrutti.jpg </v>
      </c>
      <c r="I48" t="str">
        <f>_xlfn.XLOOKUP(E48,Planilha1!A:A,Planilha1!C:C)</f>
        <v xml:space="preserve">img/tubes fini azedinhos tuttifrutti.jpg </v>
      </c>
      <c r="J48" s="2" t="str">
        <f t="shared" si="0"/>
        <v>('4','Tubes Fini Azedinhos Tutti-Frutti','7.50','50','../img/tubes fini azedinhos tuttifrutti.jpg ','img/tubes fini azedinhos tuttifrutti.jpg '),</v>
      </c>
    </row>
    <row r="49" spans="2:10" x14ac:dyDescent="0.25">
      <c r="B49" s="2" t="s">
        <v>225</v>
      </c>
      <c r="C49">
        <v>1</v>
      </c>
      <c r="D49" s="2">
        <v>4</v>
      </c>
      <c r="E49" t="s">
        <v>136</v>
      </c>
      <c r="F49" s="3" t="s">
        <v>2</v>
      </c>
      <c r="G49" s="3">
        <v>50</v>
      </c>
      <c r="H49" t="str">
        <f>_xlfn.XLOOKUP(E49,Planilha1!A:A,Planilha1!B:B)</f>
        <v xml:space="preserve">../img/tubes fini azedinhos uva.jpg </v>
      </c>
      <c r="I49" t="str">
        <f>_xlfn.XLOOKUP(E49,Planilha1!A:A,Planilha1!C:C)</f>
        <v xml:space="preserve">img/tubes fini azedinhos uva.jpg </v>
      </c>
      <c r="J49" s="2" t="str">
        <f t="shared" si="0"/>
        <v>('4','Tubes Fini Azedinhos Uva','7.50','50','../img/tubes fini azedinhos uva.jpg ','img/tubes fini azedinhos uva.jpg '),</v>
      </c>
    </row>
    <row r="50" spans="2:10" x14ac:dyDescent="0.25">
      <c r="B50" s="2" t="s">
        <v>225</v>
      </c>
      <c r="C50">
        <v>1</v>
      </c>
      <c r="D50" s="2">
        <v>4</v>
      </c>
      <c r="E50" t="s">
        <v>137</v>
      </c>
      <c r="F50" s="3" t="s">
        <v>2</v>
      </c>
      <c r="G50" s="3">
        <v>50</v>
      </c>
      <c r="H50" t="str">
        <f>_xlfn.XLOOKUP(E50,Planilha1!A:A,Planilha1!B:B)</f>
        <v xml:space="preserve">../img/Melancia Azedinha fini.jpg </v>
      </c>
      <c r="I50" t="str">
        <f>_xlfn.XLOOKUP(E50,Planilha1!A:A,Planilha1!C:C)</f>
        <v xml:space="preserve">img/Melancia Azedinha fini.jpg </v>
      </c>
      <c r="J50" s="2" t="str">
        <f t="shared" si="0"/>
        <v>('4','Melancia Azedinha Fini','7.50','50','../img/Melancia Azedinha fini.jpg ','img/Melancia Azedinha fini.jpg '),</v>
      </c>
    </row>
    <row r="51" spans="2:10" x14ac:dyDescent="0.25">
      <c r="B51" s="2" t="s">
        <v>225</v>
      </c>
      <c r="C51">
        <v>1</v>
      </c>
      <c r="D51" s="2">
        <v>4</v>
      </c>
      <c r="E51" t="s">
        <v>138</v>
      </c>
      <c r="F51" s="3" t="s">
        <v>2</v>
      </c>
      <c r="G51" s="3">
        <v>50</v>
      </c>
      <c r="H51" t="str">
        <f>_xlfn.XLOOKUP(E51,Planilha1!A:A,Planilha1!B:B)</f>
        <v xml:space="preserve">../img/fini Dentaduras.jpg </v>
      </c>
      <c r="I51" t="str">
        <f>_xlfn.XLOOKUP(E51,Planilha1!A:A,Planilha1!C:C)</f>
        <v xml:space="preserve">img/fini Dentaduras.jpg </v>
      </c>
      <c r="J51" s="2" t="str">
        <f t="shared" si="0"/>
        <v>('4','Dentaduras Fini','7.50','50','../img/fini Dentaduras.jpg ','img/fini Dentaduras.jpg '),</v>
      </c>
    </row>
    <row r="52" spans="2:10" x14ac:dyDescent="0.25">
      <c r="B52" s="2" t="s">
        <v>225</v>
      </c>
      <c r="C52">
        <v>1</v>
      </c>
      <c r="D52" s="2">
        <v>4</v>
      </c>
      <c r="E52" t="s">
        <v>139</v>
      </c>
      <c r="F52" s="3" t="s">
        <v>2</v>
      </c>
      <c r="G52" s="3">
        <v>50</v>
      </c>
      <c r="H52" t="str">
        <f>_xlfn.XLOOKUP(E52,Planilha1!A:A,Planilha1!B:B)</f>
        <v xml:space="preserve">../img/finiMinhocas.jpg </v>
      </c>
      <c r="I52" t="str">
        <f>_xlfn.XLOOKUP(E52,Planilha1!A:A,Planilha1!C:C)</f>
        <v xml:space="preserve">img/finiMinhocas.jpg </v>
      </c>
      <c r="J52" s="2" t="str">
        <f t="shared" si="0"/>
        <v>('4','Minhocas Fini','7.50','50','../img/finiMinhocas.jpg ','img/finiMinhocas.jpg '),</v>
      </c>
    </row>
    <row r="53" spans="2:10" x14ac:dyDescent="0.25">
      <c r="B53" s="2" t="s">
        <v>225</v>
      </c>
      <c r="C53">
        <v>1</v>
      </c>
      <c r="D53" s="2">
        <v>4</v>
      </c>
      <c r="E53" t="s">
        <v>140</v>
      </c>
      <c r="F53" s="3" t="s">
        <v>2</v>
      </c>
      <c r="G53" s="3">
        <v>50</v>
      </c>
      <c r="H53" t="str">
        <f>_xlfn.XLOOKUP(E53,Planilha1!A:A,Planilha1!B:B)</f>
        <v xml:space="preserve">../img/Bala Fini amora.jpg </v>
      </c>
      <c r="I53" t="str">
        <f>_xlfn.XLOOKUP(E53,Planilha1!A:A,Planilha1!C:C)</f>
        <v xml:space="preserve">img/Bala Fini amora.jpg </v>
      </c>
      <c r="J53" s="2" t="str">
        <f t="shared" si="0"/>
        <v>('4','Bala Gelatina Amoras Fini','7.50','50','../img/Bala Fini amora.jpg ','img/Bala Fini amora.jpg '),</v>
      </c>
    </row>
    <row r="54" spans="2:10" x14ac:dyDescent="0.25">
      <c r="B54" s="2" t="s">
        <v>225</v>
      </c>
      <c r="C54">
        <v>1</v>
      </c>
      <c r="D54" s="2">
        <v>4</v>
      </c>
      <c r="E54" t="s">
        <v>141</v>
      </c>
      <c r="F54" s="3" t="s">
        <v>2</v>
      </c>
      <c r="G54" s="3">
        <v>50</v>
      </c>
      <c r="H54" t="str">
        <f>_xlfn.XLOOKUP(E54,Planilha1!A:A,Planilha1!B:B)</f>
        <v xml:space="preserve">../img/bala gelatina fini.jpg </v>
      </c>
      <c r="I54" t="str">
        <f>_xlfn.XLOOKUP(E54,Planilha1!A:A,Planilha1!C:C)</f>
        <v xml:space="preserve">img/bala gelatina fini.jpg </v>
      </c>
      <c r="J54" s="2" t="str">
        <f t="shared" si="0"/>
        <v>('4','Bala Gelatina Beijos Fini','7.50','50','../img/bala gelatina fini.jpg ','img/bala gelatina fini.jpg '),</v>
      </c>
    </row>
    <row r="55" spans="2:10" x14ac:dyDescent="0.25">
      <c r="B55" s="2" t="s">
        <v>225</v>
      </c>
      <c r="C55">
        <v>1</v>
      </c>
      <c r="D55" s="2">
        <v>4</v>
      </c>
      <c r="E55" t="s">
        <v>142</v>
      </c>
      <c r="F55" s="3" t="s">
        <v>2</v>
      </c>
      <c r="G55" s="3">
        <v>50</v>
      </c>
      <c r="H55" t="str">
        <f>_xlfn.XLOOKUP(E55,Planilha1!A:A,Planilha1!B:B)</f>
        <v xml:space="preserve">../img/Bala Gelatina Finiburguers Fini.jpg </v>
      </c>
      <c r="I55" t="str">
        <f>_xlfn.XLOOKUP(E55,Planilha1!A:A,Planilha1!C:C)</f>
        <v xml:space="preserve">img/Bala Gelatina Finiburguers Fini.jpg </v>
      </c>
      <c r="J55" s="2" t="str">
        <f t="shared" si="0"/>
        <v>('4','Bala Gelatina Finiburguers Fini','7.50','50','../img/Bala Gelatina Finiburguers Fini.jpg ','img/Bala Gelatina Finiburguers Fini.jpg '),</v>
      </c>
    </row>
    <row r="56" spans="2:10" x14ac:dyDescent="0.25">
      <c r="B56" s="2" t="s">
        <v>225</v>
      </c>
      <c r="C56">
        <v>1</v>
      </c>
      <c r="D56" s="2">
        <v>4</v>
      </c>
      <c r="E56" t="s">
        <v>143</v>
      </c>
      <c r="F56" s="3" t="s">
        <v>2</v>
      </c>
      <c r="G56" s="3">
        <v>50</v>
      </c>
      <c r="H56" t="str">
        <f>_xlfn.XLOOKUP(E56,Planilha1!A:A,Planilha1!B:B)</f>
        <v xml:space="preserve">../img/Bala Gelatinas Polvo 80g FINI.jpg </v>
      </c>
      <c r="I56" t="str">
        <f>_xlfn.XLOOKUP(E56,Planilha1!A:A,Planilha1!C:C)</f>
        <v xml:space="preserve">img/Bala Gelatinas Polvo 80g FINI.jpg </v>
      </c>
      <c r="J56" s="2" t="str">
        <f t="shared" si="0"/>
        <v>('4','Bala Gelatinas Polvo Fini','7.50','50','../img/Bala Gelatinas Polvo 80g FINI.jpg ','img/Bala Gelatinas Polvo 80g FINI.jpg '),</v>
      </c>
    </row>
    <row r="57" spans="2:10" x14ac:dyDescent="0.25">
      <c r="B57" s="2" t="s">
        <v>226</v>
      </c>
      <c r="C57">
        <v>2</v>
      </c>
      <c r="D57" s="2">
        <v>3</v>
      </c>
      <c r="E57" t="s">
        <v>144</v>
      </c>
      <c r="F57" s="3" t="s">
        <v>17</v>
      </c>
      <c r="G57" s="3">
        <v>100</v>
      </c>
      <c r="H57" t="str">
        <f>_xlfn.XLOOKUP(E57,Planilha1!A:A,Planilha1!B:B)</f>
        <v xml:space="preserve">../img/sonhodevalsa.jpeg </v>
      </c>
      <c r="I57" t="str">
        <f>_xlfn.XLOOKUP(E57,Planilha1!A:A,Planilha1!C:C)</f>
        <v xml:space="preserve">img/sonhodevalsa.jpeg </v>
      </c>
      <c r="J57" s="2" t="str">
        <f t="shared" si="0"/>
        <v>('3','Sonho de Valsa','2.50','100','../img/sonhodevalsa.jpeg ','img/sonhodevalsa.jpeg '),</v>
      </c>
    </row>
    <row r="58" spans="2:10" x14ac:dyDescent="0.25">
      <c r="B58" s="2" t="s">
        <v>226</v>
      </c>
      <c r="C58">
        <v>2</v>
      </c>
      <c r="D58" s="2">
        <v>3</v>
      </c>
      <c r="E58" t="s">
        <v>145</v>
      </c>
      <c r="F58" s="3" t="s">
        <v>17</v>
      </c>
      <c r="G58" s="3">
        <v>100</v>
      </c>
      <c r="H58" t="str">
        <f>_xlfn.XLOOKUP(E58,Planilha1!A:A,Planilha1!B:B)</f>
        <v xml:space="preserve">../img/ouro branco.jpeg </v>
      </c>
      <c r="I58" t="str">
        <f>_xlfn.XLOOKUP(E58,Planilha1!A:A,Planilha1!C:C)</f>
        <v xml:space="preserve">img/ouro branco.jpeg </v>
      </c>
      <c r="J58" s="2" t="str">
        <f t="shared" si="0"/>
        <v>('3','Ouro Branco','2.50','100','../img/ouro branco.jpeg ','img/ouro branco.jpeg '),</v>
      </c>
    </row>
    <row r="59" spans="2:10" x14ac:dyDescent="0.25">
      <c r="B59" s="2" t="s">
        <v>226</v>
      </c>
      <c r="C59">
        <v>2</v>
      </c>
      <c r="D59" s="2">
        <v>3</v>
      </c>
      <c r="E59" t="s">
        <v>146</v>
      </c>
      <c r="F59" s="3" t="s">
        <v>132</v>
      </c>
      <c r="G59" s="3">
        <v>50</v>
      </c>
      <c r="H59" t="str">
        <f>_xlfn.XLOOKUP(E59,Planilha1!A:A,Planilha1!B:B)</f>
        <v xml:space="preserve">../img/Bis.jpeg </v>
      </c>
      <c r="I59" t="str">
        <f>_xlfn.XLOOKUP(E59,Planilha1!A:A,Planilha1!C:C)</f>
        <v xml:space="preserve">img/Bis.jpeg </v>
      </c>
      <c r="J59" s="2" t="str">
        <f t="shared" si="0"/>
        <v>('3','Bis Xtra','18.00','50','../img/Bis.jpeg ','img/Bis.jpeg '),</v>
      </c>
    </row>
    <row r="60" spans="2:10" x14ac:dyDescent="0.25">
      <c r="B60" s="2" t="s">
        <v>91</v>
      </c>
      <c r="C60">
        <v>7</v>
      </c>
      <c r="D60" s="2">
        <v>2</v>
      </c>
      <c r="E60" t="s">
        <v>147</v>
      </c>
      <c r="F60" s="3" t="s">
        <v>149</v>
      </c>
      <c r="G60" s="3">
        <v>30</v>
      </c>
      <c r="H60" t="str">
        <f>_xlfn.XLOOKUP(E60,Planilha1!A:A,Planilha1!B:B)</f>
        <v xml:space="preserve">../img/cha mate limão.jpeg </v>
      </c>
      <c r="I60" t="str">
        <f>_xlfn.XLOOKUP(E60,Planilha1!A:A,Planilha1!C:C)</f>
        <v xml:space="preserve">img/cha mate limão.jpeg </v>
      </c>
      <c r="J60" s="2" t="str">
        <f t="shared" si="0"/>
        <v>('2','Chá Mate Leão Limão','3.19','30','../img/cha mate limão.jpeg ','img/cha mate limão.jpeg '),</v>
      </c>
    </row>
    <row r="61" spans="2:10" x14ac:dyDescent="0.25">
      <c r="B61" s="2" t="s">
        <v>91</v>
      </c>
      <c r="C61">
        <v>7</v>
      </c>
      <c r="D61" s="2">
        <v>2</v>
      </c>
      <c r="E61" t="s">
        <v>148</v>
      </c>
      <c r="F61" s="3" t="s">
        <v>149</v>
      </c>
      <c r="G61" s="3">
        <v>30</v>
      </c>
      <c r="H61" t="str">
        <f>_xlfn.XLOOKUP(E61,Planilha1!A:A,Planilha1!B:B)</f>
        <v xml:space="preserve">../img/cha mate pessego.jpeg </v>
      </c>
      <c r="I61" t="str">
        <f>_xlfn.XLOOKUP(E61,Planilha1!A:A,Planilha1!C:C)</f>
        <v xml:space="preserve">img/cha mate pessego.jpeg </v>
      </c>
      <c r="J61" s="2" t="str">
        <f t="shared" si="0"/>
        <v>('2','Chá Mate Leão Pessego','3.19','30','../img/cha mate pessego.jpeg ','img/cha mate pessego.jpeg '),</v>
      </c>
    </row>
    <row r="62" spans="2:10" x14ac:dyDescent="0.25">
      <c r="B62" s="2" t="s">
        <v>25</v>
      </c>
      <c r="C62">
        <v>8</v>
      </c>
      <c r="D62" s="2">
        <v>11</v>
      </c>
      <c r="E62" t="s">
        <v>205</v>
      </c>
      <c r="F62" s="3" t="s">
        <v>210</v>
      </c>
      <c r="G62" s="3">
        <v>20</v>
      </c>
      <c r="H62" t="str">
        <f>_xlfn.XLOOKUP(E62,Planilha1!A:A,Planilha1!B:B)</f>
        <v>../img/coca-cola.jpeg</v>
      </c>
      <c r="I62" t="str">
        <f>_xlfn.XLOOKUP(E62,Planilha1!A:A,Planilha1!C:C)</f>
        <v>img/coca-cola.jpeg</v>
      </c>
      <c r="J62" s="2" t="str">
        <f t="shared" si="0"/>
        <v>('11','Coca-Cola','4.20','20','../img/coca-cola.jpeg','img/coca-cola.jpeg'),</v>
      </c>
    </row>
    <row r="63" spans="2:10" x14ac:dyDescent="0.25">
      <c r="B63" s="2" t="s">
        <v>25</v>
      </c>
      <c r="C63">
        <v>8</v>
      </c>
      <c r="D63" s="2">
        <v>11</v>
      </c>
      <c r="E63" t="s">
        <v>206</v>
      </c>
      <c r="F63" s="3" t="s">
        <v>210</v>
      </c>
      <c r="G63" s="3">
        <v>20</v>
      </c>
      <c r="H63" t="str">
        <f>_xlfn.XLOOKUP(E63,Planilha1!A:A,Planilha1!B:B)</f>
        <v>../img/coca-cola zero.jpeg</v>
      </c>
      <c r="I63" t="str">
        <f>_xlfn.XLOOKUP(E63,Planilha1!A:A,Planilha1!C:C)</f>
        <v>img/coca-cola zero.jpeg</v>
      </c>
      <c r="J63" s="2" t="str">
        <f t="shared" si="0"/>
        <v>('11','Coca-Cola Zero','4.20','20','../img/coca-cola zero.jpeg','img/coca-cola zero.jpeg'),</v>
      </c>
    </row>
    <row r="64" spans="2:10" x14ac:dyDescent="0.25">
      <c r="B64" s="2" t="s">
        <v>25</v>
      </c>
      <c r="C64">
        <v>8</v>
      </c>
      <c r="D64" s="2">
        <v>11</v>
      </c>
      <c r="E64" t="s">
        <v>207</v>
      </c>
      <c r="F64" s="3" t="s">
        <v>212</v>
      </c>
      <c r="G64" s="3">
        <v>15</v>
      </c>
      <c r="H64" t="str">
        <f>_xlfn.XLOOKUP(E64,Planilha1!A:A,Planilha1!B:B)</f>
        <v>../img/sprite.jpeg</v>
      </c>
      <c r="I64" t="str">
        <f>_xlfn.XLOOKUP(E64,Planilha1!A:A,Planilha1!C:C)</f>
        <v>img/sprite.jpeg</v>
      </c>
      <c r="J64" s="2" t="str">
        <f t="shared" si="0"/>
        <v>('11','Sprite','3.69','15','../img/sprite.jpeg','img/sprite.jpeg'),</v>
      </c>
    </row>
    <row r="65" spans="2:10" x14ac:dyDescent="0.25">
      <c r="B65" s="2" t="s">
        <v>25</v>
      </c>
      <c r="C65">
        <v>8</v>
      </c>
      <c r="D65" s="2">
        <v>11</v>
      </c>
      <c r="E65" t="s">
        <v>209</v>
      </c>
      <c r="F65" s="3" t="s">
        <v>214</v>
      </c>
      <c r="G65" s="3">
        <v>20</v>
      </c>
      <c r="H65" t="str">
        <f>_xlfn.XLOOKUP(E65,Planilha1!A:A,Planilha1!B:B)</f>
        <v>../img/fanta.jpeg</v>
      </c>
      <c r="I65" t="str">
        <f>_xlfn.XLOOKUP(E65,Planilha1!A:A,Planilha1!C:C)</f>
        <v>img/fanta.jpeg</v>
      </c>
      <c r="J65" s="2" t="str">
        <f t="shared" si="0"/>
        <v>('11','Fanta Laranja','4.70','20','../img/fanta.jpeg','img/fanta.jpeg'),</v>
      </c>
    </row>
    <row r="66" spans="2:10" x14ac:dyDescent="0.25">
      <c r="B66" s="2" t="s">
        <v>25</v>
      </c>
      <c r="C66">
        <v>8</v>
      </c>
      <c r="D66" s="2">
        <v>11</v>
      </c>
      <c r="E66" t="s">
        <v>208</v>
      </c>
      <c r="F66" s="3" t="s">
        <v>213</v>
      </c>
      <c r="G66" s="3">
        <v>20</v>
      </c>
      <c r="H66" t="str">
        <f>_xlfn.XLOOKUP(E66,Planilha1!A:A,Planilha1!B:B)</f>
        <v>../img/fanta uva.jpeg</v>
      </c>
      <c r="I66" t="str">
        <f>_xlfn.XLOOKUP(E66,Planilha1!A:A,Planilha1!C:C)</f>
        <v>img/fanta uva.jpeg</v>
      </c>
      <c r="J66" s="2" t="str">
        <f t="shared" ref="J66:J72" si="1">"('"&amp;D66&amp;"',"&amp;"'"&amp;E66&amp;"',"&amp;"'"&amp;F66&amp;"',"&amp;"'"&amp;G66&amp;"',"&amp;"'"&amp;H66&amp;"',"&amp;"'"&amp;I66&amp;"'),"</f>
        <v>('11','Fanta Uva','3.99','20','../img/fanta uva.jpeg','img/fanta uva.jpeg'),</v>
      </c>
    </row>
    <row r="67" spans="2:10" x14ac:dyDescent="0.25">
      <c r="B67" s="2" t="s">
        <v>25</v>
      </c>
      <c r="C67">
        <v>8</v>
      </c>
      <c r="D67" s="2">
        <v>12</v>
      </c>
      <c r="E67" t="s">
        <v>218</v>
      </c>
      <c r="F67" s="3" t="s">
        <v>211</v>
      </c>
      <c r="G67">
        <v>30</v>
      </c>
      <c r="H67" t="str">
        <f>_xlfn.XLOOKUP(E67,Planilha1!A:A,Planilha1!B:B)</f>
        <v>../img/coca-cola zero 500ml.jpeg</v>
      </c>
      <c r="I67" t="str">
        <f>_xlfn.XLOOKUP(E67,Planilha1!A:A,Planilha1!C:C)</f>
        <v>img/coca-cola zero 500ml.jpeg</v>
      </c>
      <c r="J67" s="2" t="str">
        <f t="shared" si="1"/>
        <v>('12','Coca-Cola Zero 500ml','6.99','30','../img/coca-cola zero 500ml.jpeg','img/coca-cola zero 500ml.jpeg'),</v>
      </c>
    </row>
    <row r="68" spans="2:10" x14ac:dyDescent="0.25">
      <c r="B68" s="2" t="s">
        <v>25</v>
      </c>
      <c r="C68">
        <v>8</v>
      </c>
      <c r="D68" s="2">
        <v>12</v>
      </c>
      <c r="E68" t="s">
        <v>217</v>
      </c>
      <c r="F68" s="3" t="s">
        <v>211</v>
      </c>
      <c r="G68">
        <v>30</v>
      </c>
      <c r="H68" t="str">
        <f>_xlfn.XLOOKUP(E68,Planilha1!A:A,Planilha1!B:B)</f>
        <v>../img/coca-cola 500ml.jpeg</v>
      </c>
      <c r="I68" t="str">
        <f>_xlfn.XLOOKUP(E68,Planilha1!A:A,Planilha1!C:C)</f>
        <v>img/coca-cola 500ml.jpeg</v>
      </c>
      <c r="J68" s="2" t="str">
        <f t="shared" si="1"/>
        <v>('12','Coca-Cola 500ml','6.99','30','../img/coca-cola 500ml.jpeg','img/coca-cola 500ml.jpeg'),</v>
      </c>
    </row>
    <row r="69" spans="2:10" x14ac:dyDescent="0.25">
      <c r="B69" s="2" t="s">
        <v>224</v>
      </c>
      <c r="C69">
        <v>9</v>
      </c>
      <c r="D69" s="2">
        <v>16</v>
      </c>
      <c r="E69" t="s">
        <v>215</v>
      </c>
      <c r="F69" s="3" t="s">
        <v>22</v>
      </c>
      <c r="G69" s="3">
        <v>100</v>
      </c>
      <c r="H69" t="str">
        <f>_xlfn.XLOOKUP(E69,Planilha1!A:A,Planilha1!B:B)</f>
        <v xml:space="preserve">../img/Barra Nutry bolo_chocolate.jpg </v>
      </c>
      <c r="I69" t="str">
        <f>_xlfn.XLOOKUP(E69,Planilha1!A:A,Planilha1!C:C)</f>
        <v xml:space="preserve">img/Barra Nutry bolo_chocolate.jpg </v>
      </c>
      <c r="J69" s="2" t="str">
        <f t="shared" si="1"/>
        <v>('16','Barra Nutry bolo_chocolate','6.00','100','../img/Barra Nutry bolo_chocolate.jpg ','img/Barra Nutry bolo_chocolate.jpg '),</v>
      </c>
    </row>
    <row r="70" spans="2:10" x14ac:dyDescent="0.25">
      <c r="B70" s="2" t="s">
        <v>225</v>
      </c>
      <c r="C70">
        <v>1</v>
      </c>
      <c r="D70" s="2">
        <v>4</v>
      </c>
      <c r="E70" t="s">
        <v>219</v>
      </c>
      <c r="F70" s="3" t="s">
        <v>2</v>
      </c>
      <c r="G70" s="3">
        <v>50</v>
      </c>
      <c r="H70" t="str">
        <f>_xlfn.XLOOKUP(E70,Planilha1!A:A,Planilha1!B:B)</f>
        <v xml:space="preserve">../img/Bala fini tubes.jpg </v>
      </c>
      <c r="I70" t="str">
        <f>_xlfn.XLOOKUP(E70,Planilha1!A:A,Planilha1!C:C)</f>
        <v xml:space="preserve">img/Bala fini tubes.jpg </v>
      </c>
      <c r="J70" s="2" t="str">
        <f t="shared" si="1"/>
        <v>('4','Bala fini tubes','7.50','50','../img/Bala fini tubes.jpg ','img/Bala fini tubes.jpg '),</v>
      </c>
    </row>
    <row r="71" spans="2:10" x14ac:dyDescent="0.25">
      <c r="B71" s="2" t="s">
        <v>225</v>
      </c>
      <c r="C71">
        <v>1</v>
      </c>
      <c r="D71" s="2">
        <v>4</v>
      </c>
      <c r="E71" t="s">
        <v>220</v>
      </c>
      <c r="F71" s="3" t="s">
        <v>2</v>
      </c>
      <c r="G71" s="3">
        <v>50</v>
      </c>
      <c r="H71" t="str">
        <f>_xlfn.XLOOKUP(E71,Planilha1!A:A,Planilha1!B:B)</f>
        <v xml:space="preserve">../img/Bala  Bananas fini.jpg </v>
      </c>
      <c r="I71" t="str">
        <f>_xlfn.XLOOKUP(E71,Planilha1!A:A,Planilha1!C:C)</f>
        <v xml:space="preserve">img/Bala  Bananas fini.jpg </v>
      </c>
      <c r="J71" s="2" t="str">
        <f t="shared" si="1"/>
        <v>('4','Bala Fini banana','7.50','50','../img/Bala  Bananas fini.jpg ','img/Bala  Bananas fini.jpg '),</v>
      </c>
    </row>
    <row r="72" spans="2:10" x14ac:dyDescent="0.25">
      <c r="B72" s="2" t="s">
        <v>225</v>
      </c>
      <c r="C72">
        <v>1</v>
      </c>
      <c r="D72" s="2">
        <v>4</v>
      </c>
      <c r="E72" t="s">
        <v>221</v>
      </c>
      <c r="F72" s="3" t="s">
        <v>2</v>
      </c>
      <c r="G72" s="3">
        <v>50</v>
      </c>
      <c r="H72" t="str">
        <f>_xlfn.XLOOKUP(E72,Planilha1!A:A,Planilha1!B:B)</f>
        <v xml:space="preserve">../img/Aros de Morango Azedinhos 80g - Fini.jpg </v>
      </c>
      <c r="I72" t="str">
        <f>_xlfn.XLOOKUP(E72,Planilha1!A:A,Planilha1!C:C)</f>
        <v xml:space="preserve">img/Aros de Morango Azedinhos 80g - Fini.jpg </v>
      </c>
      <c r="J72" s="2" t="str">
        <f t="shared" si="1"/>
        <v>('4','Aros de Morango Azedinhos 80g','7.50','50','../img/Aros de Morango Azedinhos 80g - Fini.jpg ','img/Aros de Morango Azedinhos 80g - Fini.jpg '),</v>
      </c>
    </row>
    <row r="73" spans="2:10" x14ac:dyDescent="0.25">
      <c r="B73" s="2" t="s">
        <v>225</v>
      </c>
      <c r="C73">
        <v>1</v>
      </c>
      <c r="D73" s="2">
        <v>4</v>
      </c>
      <c r="E73" t="s">
        <v>222</v>
      </c>
      <c r="F73" s="3" t="s">
        <v>2</v>
      </c>
      <c r="G73" s="3">
        <v>50</v>
      </c>
      <c r="H73" t="str">
        <f>_xlfn.XLOOKUP(E73,Planilha1!A:A,Planilha1!B:B)</f>
        <v xml:space="preserve">../img/Bala  Escovinhas Fini.jpg </v>
      </c>
      <c r="I73" t="str">
        <f>_xlfn.XLOOKUP(E73,Planilha1!A:A,Planilha1!C:C)</f>
        <v xml:space="preserve">img/Bala  Escovinhas Fini.jpg </v>
      </c>
      <c r="J73" s="2" t="str">
        <f>"('"&amp;D73&amp;"',"&amp;"'"&amp;E73&amp;"',"&amp;"'"&amp;F73&amp;"',"&amp;"'"&amp;G73&amp;"',"&amp;"'"&amp;H73&amp;"',"&amp;"'"&amp;I73&amp;"'),"</f>
        <v>('4','Bala  Escovinhas Fini','7.50','50','../img/Bala  Escovinhas Fini.jpg ','img/Bala  Escovinhas Fini.jpg '),</v>
      </c>
    </row>
  </sheetData>
  <autoFilter ref="A1:Q27" xr:uid="{A2E46626-8E39-4ABF-820B-C9A04DCE8100}">
    <filterColumn colId="9" showButton="0"/>
    <filterColumn colId="10" showButton="0"/>
    <filterColumn colId="11" showButton="0"/>
    <sortState xmlns:xlrd2="http://schemas.microsoft.com/office/spreadsheetml/2017/richdata2" ref="A2:Q27">
      <sortCondition ref="C1:C27"/>
    </sortState>
  </autoFilter>
  <sortState xmlns:xlrd2="http://schemas.microsoft.com/office/spreadsheetml/2017/richdata2" ref="A2:I21">
    <sortCondition ref="A1:A21"/>
  </sortState>
  <mergeCells count="1">
    <mergeCell ref="J1:M1"/>
  </mergeCells>
  <phoneticPr fontId="2" type="noConversion"/>
  <hyperlinks>
    <hyperlink ref="A1" r:id="rId1" display="http://localhost/phpmyadmin/index.php?route=/sql&amp;server=2&amp;db=bd_cantinaia&amp;table=produtos&amp;sql_query=SELECT+%2A+FROM+%60produtos%60++%0AORDER+BY+%60produtos%60.%60id%60+ASC&amp;sql_signature=bec1a572f0e74c41c8cf9ba080cd9753937276ec34da4dcc42158c26eb296f9d&amp;session_max_rows=25&amp;is_browse_distinct=0&amp;server=2" xr:uid="{555378CC-F95B-4CD9-B3BB-BB900E534AD9}"/>
    <hyperlink ref="B1" r:id="rId2" display="http://localhost/phpmyadmin/index.php?route=/sql&amp;server=2&amp;db=bd_cantinaia&amp;table=produtos&amp;sql_query=SELECT+%2A+FROM+%60produtos%60++%0AORDER+BY+%60produtos%60.%60nome%60+ASC&amp;sql_signature=c9f0519f4bbab1651069dee64dafae6c82c139d1b3b16b4e6ba3b7fedaf7ae9b&amp;session_max_rows=25&amp;is_browse_distinct=0&amp;server=2" xr:uid="{58F75266-D121-44AB-B3A0-B1C19AF4A043}"/>
    <hyperlink ref="E1" r:id="rId3" display="http://localhost/phpmyadmin/index.php?route=/sql&amp;server=2&amp;db=bd_cantinaia&amp;table=produtos&amp;sql_query=SELECT+%2A+FROM+%60produtos%60++%0AORDER+BY+%60produtos%60.%60descricao%60+ASC&amp;sql_signature=75cb5cf5a285b3a7626c7f3c4759c9f7ca5f302f2384ae068b11cd46b7b039c0&amp;session_max_rows=25&amp;is_browse_distinct=0&amp;server=2" xr:uid="{BFBC707A-694F-4CC0-9EED-F7015D1C3FB2}"/>
    <hyperlink ref="F1" r:id="rId4" display="http://localhost/phpmyadmin/index.php?route=/sql&amp;server=2&amp;db=bd_cantinaia&amp;table=produtos&amp;sql_query=SELECT+%2A+FROM+%60produtos%60++%0AORDER+BY+%60produtos%60.%60preco%60+ASC&amp;sql_signature=6cf7d340a7b017e68b3ed4b19f356057cc35d48313210f4c98fda0ed37f2873f&amp;session_max_rows=25&amp;is_browse_distinct=0&amp;server=2" xr:uid="{8C70432B-4BBF-4035-956C-EEBC58845AEA}"/>
    <hyperlink ref="G1" r:id="rId5" display="http://localhost/phpmyadmin/index.php?route=/sql&amp;server=2&amp;db=bd_cantinaia&amp;table=produtos&amp;sql_query=SELECT+%2A+FROM+%60produtos%60++%0AORDER+BY+%60produtos%60.%60estoque%60+ASC&amp;sql_signature=07bb04b04b02b14476c135fa2abb61b4679b6f3e4bcf84feac1b307e5f92065a&amp;session_max_rows=25&amp;is_browse_distinct=0&amp;server=2" xr:uid="{4F252748-AAFC-4261-95BB-217AFF6ED21F}"/>
    <hyperlink ref="H1" r:id="rId6" display="http://localhost/phpmyadmin/index.php?route=/sql&amp;server=2&amp;db=bd_cantinaia&amp;table=produtos&amp;sql_query=SELECT+%2A+FROM+%60produtos%60++%0AORDER+BY+%60produtos%60.%60imagem%60+ASC&amp;sql_signature=79a2af00067081dd97ed6959a4ad5382025ab3e2dba9e7b398593316611bbc0f&amp;session_max_rows=25&amp;is_browse_distinct=0&amp;server=2" xr:uid="{0717DCF4-92C5-4C3E-B79B-C8509AF31457}"/>
    <hyperlink ref="I1" r:id="rId7" display="http://localhost/phpmyadmin/index.php?route=/sql&amp;server=2&amp;db=bd_cantinaia&amp;table=produtos&amp;sql_query=SELECT+%2A+FROM+%60produtos%60++%0AORDER+BY+%60produtos%60.%60imagem1%60+ASC&amp;sql_signature=ecf8c759909b7c94600167cdf4c64ff6bb71b4e48fae3b4ae449e7338bae00f7&amp;session_max_rows=25&amp;is_browse_distinct=0&amp;server=2" xr:uid="{61771EEE-402F-4ADE-926F-8823060E965D}"/>
  </hyperlinks>
  <pageMargins left="0.511811024" right="0.511811024" top="0.78740157499999996" bottom="0.78740157499999996" header="0.31496062000000002" footer="0.31496062000000002"/>
  <drawing r:id="rId8"/>
  <legacyDrawing r:id="rId9"/>
  <controls>
    <mc:AlternateContent xmlns:mc="http://schemas.openxmlformats.org/markup-compatibility/2006">
      <mc:Choice Requires="x14">
        <control shapeId="3242" r:id="rId10" name="Control 170">
          <controlPr defaultSize="0" r:id="rId11">
            <anchor moveWithCells="1">
              <from>
                <xdr:col>0</xdr:col>
                <xdr:colOff>0</xdr:colOff>
                <xdr:row>22</xdr:row>
                <xdr:rowOff>28575</xdr:rowOff>
              </from>
              <to>
                <xdr:col>0</xdr:col>
                <xdr:colOff>257175</xdr:colOff>
                <xdr:row>23</xdr:row>
                <xdr:rowOff>104775</xdr:rowOff>
              </to>
            </anchor>
          </controlPr>
        </control>
      </mc:Choice>
      <mc:Fallback>
        <control shapeId="3242" r:id="rId10" name="Control 170"/>
      </mc:Fallback>
    </mc:AlternateContent>
    <mc:AlternateContent xmlns:mc="http://schemas.openxmlformats.org/markup-compatibility/2006">
      <mc:Choice Requires="x14">
        <control shapeId="3241" r:id="rId12" name="Control 169">
          <controlPr defaultSize="0" r:id="rId11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257175</xdr:colOff>
                <xdr:row>5</xdr:row>
                <xdr:rowOff>76200</xdr:rowOff>
              </to>
            </anchor>
          </controlPr>
        </control>
      </mc:Choice>
      <mc:Fallback>
        <control shapeId="3241" r:id="rId12" name="Control 169"/>
      </mc:Fallback>
    </mc:AlternateContent>
    <mc:AlternateContent xmlns:mc="http://schemas.openxmlformats.org/markup-compatibility/2006">
      <mc:Choice Requires="x14">
        <control shapeId="3240" r:id="rId13" name="Control 168">
          <controlPr defaultSize="0" r:id="rId11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257175</xdr:colOff>
                <xdr:row>7</xdr:row>
                <xdr:rowOff>266700</xdr:rowOff>
              </to>
            </anchor>
          </controlPr>
        </control>
      </mc:Choice>
      <mc:Fallback>
        <control shapeId="3240" r:id="rId13" name="Control 168"/>
      </mc:Fallback>
    </mc:AlternateContent>
    <mc:AlternateContent xmlns:mc="http://schemas.openxmlformats.org/markup-compatibility/2006">
      <mc:Choice Requires="x14">
        <control shapeId="3239" r:id="rId14" name="Control 167">
          <controlPr defaultSize="0" r:id="rId11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257175</xdr:colOff>
                <xdr:row>9</xdr:row>
                <xdr:rowOff>76200</xdr:rowOff>
              </to>
            </anchor>
          </controlPr>
        </control>
      </mc:Choice>
      <mc:Fallback>
        <control shapeId="3239" r:id="rId14" name="Control 167"/>
      </mc:Fallback>
    </mc:AlternateContent>
    <mc:AlternateContent xmlns:mc="http://schemas.openxmlformats.org/markup-compatibility/2006">
      <mc:Choice Requires="x14">
        <control shapeId="3238" r:id="rId15" name="Control 166">
          <controlPr defaultSize="0" r:id="rId11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257175</xdr:colOff>
                <xdr:row>4</xdr:row>
                <xdr:rowOff>76200</xdr:rowOff>
              </to>
            </anchor>
          </controlPr>
        </control>
      </mc:Choice>
      <mc:Fallback>
        <control shapeId="3238" r:id="rId15" name="Control 166"/>
      </mc:Fallback>
    </mc:AlternateContent>
    <mc:AlternateContent xmlns:mc="http://schemas.openxmlformats.org/markup-compatibility/2006">
      <mc:Choice Requires="x14">
        <control shapeId="3237" r:id="rId16" name="Control 165">
          <controlPr defaultSize="0" r:id="rId11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257175</xdr:colOff>
                <xdr:row>2</xdr:row>
                <xdr:rowOff>266700</xdr:rowOff>
              </to>
            </anchor>
          </controlPr>
        </control>
      </mc:Choice>
      <mc:Fallback>
        <control shapeId="3237" r:id="rId16" name="Control 165"/>
      </mc:Fallback>
    </mc:AlternateContent>
    <mc:AlternateContent xmlns:mc="http://schemas.openxmlformats.org/markup-compatibility/2006">
      <mc:Choice Requires="x14">
        <control shapeId="3236" r:id="rId17" name="Control 164">
          <controlPr defaultSize="0" r:id="rId11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257175</xdr:colOff>
                <xdr:row>15</xdr:row>
                <xdr:rowOff>76200</xdr:rowOff>
              </to>
            </anchor>
          </controlPr>
        </control>
      </mc:Choice>
      <mc:Fallback>
        <control shapeId="3236" r:id="rId17" name="Control 164"/>
      </mc:Fallback>
    </mc:AlternateContent>
    <mc:AlternateContent xmlns:mc="http://schemas.openxmlformats.org/markup-compatibility/2006">
      <mc:Choice Requires="x14">
        <control shapeId="3235" r:id="rId18" name="Control 163">
          <controlPr defaultSize="0" r:id="rId11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257175</xdr:colOff>
                <xdr:row>12</xdr:row>
                <xdr:rowOff>76200</xdr:rowOff>
              </to>
            </anchor>
          </controlPr>
        </control>
      </mc:Choice>
      <mc:Fallback>
        <control shapeId="3235" r:id="rId18" name="Control 163"/>
      </mc:Fallback>
    </mc:AlternateContent>
    <mc:AlternateContent xmlns:mc="http://schemas.openxmlformats.org/markup-compatibility/2006">
      <mc:Choice Requires="x14">
        <control shapeId="3234" r:id="rId19" name="Control 162">
          <controlPr defaultSize="0" r:id="rId11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257175</xdr:colOff>
                <xdr:row>7</xdr:row>
                <xdr:rowOff>76200</xdr:rowOff>
              </to>
            </anchor>
          </controlPr>
        </control>
      </mc:Choice>
      <mc:Fallback>
        <control shapeId="3234" r:id="rId19" name="Control 162"/>
      </mc:Fallback>
    </mc:AlternateContent>
    <mc:AlternateContent xmlns:mc="http://schemas.openxmlformats.org/markup-compatibility/2006">
      <mc:Choice Requires="x14">
        <control shapeId="3233" r:id="rId20" name="Control 161">
          <controlPr defaultSize="0" r:id="rId11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257175</xdr:colOff>
                <xdr:row>15</xdr:row>
                <xdr:rowOff>266700</xdr:rowOff>
              </to>
            </anchor>
          </controlPr>
        </control>
      </mc:Choice>
      <mc:Fallback>
        <control shapeId="3233" r:id="rId20" name="Control 161"/>
      </mc:Fallback>
    </mc:AlternateContent>
    <mc:AlternateContent xmlns:mc="http://schemas.openxmlformats.org/markup-compatibility/2006">
      <mc:Choice Requires="x14">
        <control shapeId="3232" r:id="rId21" name="Control 160">
          <controlPr defaultSize="0" r:id="rId11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257175</xdr:colOff>
                <xdr:row>18</xdr:row>
                <xdr:rowOff>76200</xdr:rowOff>
              </to>
            </anchor>
          </controlPr>
        </control>
      </mc:Choice>
      <mc:Fallback>
        <control shapeId="3232" r:id="rId21" name="Control 160"/>
      </mc:Fallback>
    </mc:AlternateContent>
    <mc:AlternateContent xmlns:mc="http://schemas.openxmlformats.org/markup-compatibility/2006">
      <mc:Choice Requires="x14">
        <control shapeId="3231" r:id="rId22" name="Control 159">
          <controlPr defaultSize="0" r:id="rId11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257175</xdr:colOff>
                <xdr:row>20</xdr:row>
                <xdr:rowOff>76200</xdr:rowOff>
              </to>
            </anchor>
          </controlPr>
        </control>
      </mc:Choice>
      <mc:Fallback>
        <control shapeId="3231" r:id="rId22" name="Control 159"/>
      </mc:Fallback>
    </mc:AlternateContent>
    <mc:AlternateContent xmlns:mc="http://schemas.openxmlformats.org/markup-compatibility/2006">
      <mc:Choice Requires="x14">
        <control shapeId="3230" r:id="rId23" name="Control 158">
          <controlPr defaultSize="0" r:id="rId11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257175</xdr:colOff>
                <xdr:row>17</xdr:row>
                <xdr:rowOff>76200</xdr:rowOff>
              </to>
            </anchor>
          </controlPr>
        </control>
      </mc:Choice>
      <mc:Fallback>
        <control shapeId="3230" r:id="rId23" name="Control 158"/>
      </mc:Fallback>
    </mc:AlternateContent>
    <mc:AlternateContent xmlns:mc="http://schemas.openxmlformats.org/markup-compatibility/2006">
      <mc:Choice Requires="x14">
        <control shapeId="3229" r:id="rId24" name="Control 157">
          <controlPr defaultSize="0" r:id="rId11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257175</xdr:colOff>
                <xdr:row>13</xdr:row>
                <xdr:rowOff>76200</xdr:rowOff>
              </to>
            </anchor>
          </controlPr>
        </control>
      </mc:Choice>
      <mc:Fallback>
        <control shapeId="3229" r:id="rId24" name="Control 157"/>
      </mc:Fallback>
    </mc:AlternateContent>
    <mc:AlternateContent xmlns:mc="http://schemas.openxmlformats.org/markup-compatibility/2006">
      <mc:Choice Requires="x14">
        <control shapeId="3228" r:id="rId25" name="Control 156">
          <controlPr defaultSize="0" r:id="rId11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257175</xdr:colOff>
                <xdr:row>6</xdr:row>
                <xdr:rowOff>76200</xdr:rowOff>
              </to>
            </anchor>
          </controlPr>
        </control>
      </mc:Choice>
      <mc:Fallback>
        <control shapeId="3228" r:id="rId25" name="Control 156"/>
      </mc:Fallback>
    </mc:AlternateContent>
    <mc:AlternateContent xmlns:mc="http://schemas.openxmlformats.org/markup-compatibility/2006">
      <mc:Choice Requires="x14">
        <control shapeId="3227" r:id="rId26" name="Control 155">
          <controlPr defaultSize="0" r:id="rId11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257175</xdr:colOff>
                <xdr:row>13</xdr:row>
                <xdr:rowOff>266700</xdr:rowOff>
              </to>
            </anchor>
          </controlPr>
        </control>
      </mc:Choice>
      <mc:Fallback>
        <control shapeId="3227" r:id="rId26" name="Control 155"/>
      </mc:Fallback>
    </mc:AlternateContent>
    <mc:AlternateContent xmlns:mc="http://schemas.openxmlformats.org/markup-compatibility/2006">
      <mc:Choice Requires="x14">
        <control shapeId="3226" r:id="rId27" name="Control 154">
          <controlPr defaultSize="0" r:id="rId11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257175</xdr:colOff>
                <xdr:row>10</xdr:row>
                <xdr:rowOff>266700</xdr:rowOff>
              </to>
            </anchor>
          </controlPr>
        </control>
      </mc:Choice>
      <mc:Fallback>
        <control shapeId="3226" r:id="rId27" name="Control 154"/>
      </mc:Fallback>
    </mc:AlternateContent>
    <mc:AlternateContent xmlns:mc="http://schemas.openxmlformats.org/markup-compatibility/2006">
      <mc:Choice Requires="x14">
        <control shapeId="3225" r:id="rId28" name="Control 153">
          <controlPr defaultSize="0" r:id="rId11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257175</xdr:colOff>
                <xdr:row>10</xdr:row>
                <xdr:rowOff>76200</xdr:rowOff>
              </to>
            </anchor>
          </controlPr>
        </control>
      </mc:Choice>
      <mc:Fallback>
        <control shapeId="3225" r:id="rId28" name="Control 153"/>
      </mc:Fallback>
    </mc:AlternateContent>
    <mc:AlternateContent xmlns:mc="http://schemas.openxmlformats.org/markup-compatibility/2006">
      <mc:Choice Requires="x14">
        <control shapeId="3224" r:id="rId29" name="Control 152">
          <controlPr defaultSize="0" r:id="rId11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257175</xdr:colOff>
                <xdr:row>21</xdr:row>
                <xdr:rowOff>76200</xdr:rowOff>
              </to>
            </anchor>
          </controlPr>
        </control>
      </mc:Choice>
      <mc:Fallback>
        <control shapeId="3224" r:id="rId29" name="Control 152"/>
      </mc:Fallback>
    </mc:AlternateContent>
    <mc:AlternateContent xmlns:mc="http://schemas.openxmlformats.org/markup-compatibility/2006">
      <mc:Choice Requires="x14">
        <control shapeId="3223" r:id="rId30" name="Control 151">
          <controlPr defaultSize="0" r:id="rId11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257175</xdr:colOff>
                <xdr:row>19</xdr:row>
                <xdr:rowOff>76200</xdr:rowOff>
              </to>
            </anchor>
          </controlPr>
        </control>
      </mc:Choice>
      <mc:Fallback>
        <control shapeId="3223" r:id="rId30" name="Control 151"/>
      </mc:Fallback>
    </mc:AlternateContent>
    <mc:AlternateContent xmlns:mc="http://schemas.openxmlformats.org/markup-compatibility/2006">
      <mc:Choice Requires="x14">
        <control shapeId="3222" r:id="rId31" name="Control 150">
          <controlPr defaultSize="0" r:id="rId11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257175</xdr:colOff>
                <xdr:row>2</xdr:row>
                <xdr:rowOff>76200</xdr:rowOff>
              </to>
            </anchor>
          </controlPr>
        </control>
      </mc:Choice>
      <mc:Fallback>
        <control shapeId="3222" r:id="rId31" name="Control 150"/>
      </mc:Fallback>
    </mc:AlternateContent>
    <mc:AlternateContent xmlns:mc="http://schemas.openxmlformats.org/markup-compatibility/2006">
      <mc:Choice Requires="x14">
        <control shapeId="3151" r:id="rId32" name="Control 79">
          <controlPr defaultSize="0" r:id="rId11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257175</xdr:colOff>
                <xdr:row>7</xdr:row>
                <xdr:rowOff>266700</xdr:rowOff>
              </to>
            </anchor>
          </controlPr>
        </control>
      </mc:Choice>
      <mc:Fallback>
        <control shapeId="3151" r:id="rId32" name="Control 79"/>
      </mc:Fallback>
    </mc:AlternateContent>
    <mc:AlternateContent xmlns:mc="http://schemas.openxmlformats.org/markup-compatibility/2006">
      <mc:Choice Requires="x14">
        <control shapeId="3147" r:id="rId33" name="Control 75">
          <controlPr defaultSize="0" r:id="rId11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257175</xdr:colOff>
                <xdr:row>9</xdr:row>
                <xdr:rowOff>76200</xdr:rowOff>
              </to>
            </anchor>
          </controlPr>
        </control>
      </mc:Choice>
      <mc:Fallback>
        <control shapeId="3147" r:id="rId33" name="Control 75"/>
      </mc:Fallback>
    </mc:AlternateContent>
    <mc:AlternateContent xmlns:mc="http://schemas.openxmlformats.org/markup-compatibility/2006">
      <mc:Choice Requires="x14">
        <control shapeId="3143" r:id="rId34" name="Control 71">
          <controlPr defaultSize="0" r:id="rId11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257175</xdr:colOff>
                <xdr:row>4</xdr:row>
                <xdr:rowOff>76200</xdr:rowOff>
              </to>
            </anchor>
          </controlPr>
        </control>
      </mc:Choice>
      <mc:Fallback>
        <control shapeId="3143" r:id="rId34" name="Control 71"/>
      </mc:Fallback>
    </mc:AlternateContent>
    <mc:AlternateContent xmlns:mc="http://schemas.openxmlformats.org/markup-compatibility/2006">
      <mc:Choice Requires="x14">
        <control shapeId="3139" r:id="rId35" name="Control 67">
          <controlPr defaultSize="0" r:id="rId11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257175</xdr:colOff>
                <xdr:row>2</xdr:row>
                <xdr:rowOff>266700</xdr:rowOff>
              </to>
            </anchor>
          </controlPr>
        </control>
      </mc:Choice>
      <mc:Fallback>
        <control shapeId="3139" r:id="rId35" name="Control 67"/>
      </mc:Fallback>
    </mc:AlternateContent>
    <mc:AlternateContent xmlns:mc="http://schemas.openxmlformats.org/markup-compatibility/2006">
      <mc:Choice Requires="x14">
        <control shapeId="3135" r:id="rId36" name="Control 63">
          <controlPr defaultSize="0" r:id="rId11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257175</xdr:colOff>
                <xdr:row>15</xdr:row>
                <xdr:rowOff>76200</xdr:rowOff>
              </to>
            </anchor>
          </controlPr>
        </control>
      </mc:Choice>
      <mc:Fallback>
        <control shapeId="3135" r:id="rId36" name="Control 63"/>
      </mc:Fallback>
    </mc:AlternateContent>
    <mc:AlternateContent xmlns:mc="http://schemas.openxmlformats.org/markup-compatibility/2006">
      <mc:Choice Requires="x14">
        <control shapeId="3131" r:id="rId37" name="Control 59">
          <controlPr defaultSize="0" r:id="rId11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257175</xdr:colOff>
                <xdr:row>12</xdr:row>
                <xdr:rowOff>76200</xdr:rowOff>
              </to>
            </anchor>
          </controlPr>
        </control>
      </mc:Choice>
      <mc:Fallback>
        <control shapeId="3131" r:id="rId37" name="Control 59"/>
      </mc:Fallback>
    </mc:AlternateContent>
    <mc:AlternateContent xmlns:mc="http://schemas.openxmlformats.org/markup-compatibility/2006">
      <mc:Choice Requires="x14">
        <control shapeId="3127" r:id="rId38" name="Control 55">
          <controlPr defaultSize="0" r:id="rId11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257175</xdr:colOff>
                <xdr:row>7</xdr:row>
                <xdr:rowOff>76200</xdr:rowOff>
              </to>
            </anchor>
          </controlPr>
        </control>
      </mc:Choice>
      <mc:Fallback>
        <control shapeId="3127" r:id="rId38" name="Control 55"/>
      </mc:Fallback>
    </mc:AlternateContent>
    <mc:AlternateContent xmlns:mc="http://schemas.openxmlformats.org/markup-compatibility/2006">
      <mc:Choice Requires="x14">
        <control shapeId="3123" r:id="rId39" name="Control 51">
          <controlPr defaultSize="0" r:id="rId11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257175</xdr:colOff>
                <xdr:row>15</xdr:row>
                <xdr:rowOff>266700</xdr:rowOff>
              </to>
            </anchor>
          </controlPr>
        </control>
      </mc:Choice>
      <mc:Fallback>
        <control shapeId="3123" r:id="rId39" name="Control 51"/>
      </mc:Fallback>
    </mc:AlternateContent>
    <mc:AlternateContent xmlns:mc="http://schemas.openxmlformats.org/markup-compatibility/2006">
      <mc:Choice Requires="x14">
        <control shapeId="3119" r:id="rId40" name="Control 47">
          <controlPr defaultSize="0" r:id="rId11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257175</xdr:colOff>
                <xdr:row>18</xdr:row>
                <xdr:rowOff>76200</xdr:rowOff>
              </to>
            </anchor>
          </controlPr>
        </control>
      </mc:Choice>
      <mc:Fallback>
        <control shapeId="3119" r:id="rId40" name="Control 47"/>
      </mc:Fallback>
    </mc:AlternateContent>
    <mc:AlternateContent xmlns:mc="http://schemas.openxmlformats.org/markup-compatibility/2006">
      <mc:Choice Requires="x14">
        <control shapeId="3115" r:id="rId41" name="Control 43">
          <controlPr defaultSize="0" r:id="rId11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257175</xdr:colOff>
                <xdr:row>20</xdr:row>
                <xdr:rowOff>76200</xdr:rowOff>
              </to>
            </anchor>
          </controlPr>
        </control>
      </mc:Choice>
      <mc:Fallback>
        <control shapeId="3115" r:id="rId41" name="Control 43"/>
      </mc:Fallback>
    </mc:AlternateContent>
    <mc:AlternateContent xmlns:mc="http://schemas.openxmlformats.org/markup-compatibility/2006">
      <mc:Choice Requires="x14">
        <control shapeId="3111" r:id="rId42" name="Control 39">
          <controlPr defaultSize="0" r:id="rId11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257175</xdr:colOff>
                <xdr:row>17</xdr:row>
                <xdr:rowOff>76200</xdr:rowOff>
              </to>
            </anchor>
          </controlPr>
        </control>
      </mc:Choice>
      <mc:Fallback>
        <control shapeId="3111" r:id="rId42" name="Control 39"/>
      </mc:Fallback>
    </mc:AlternateContent>
    <mc:AlternateContent xmlns:mc="http://schemas.openxmlformats.org/markup-compatibility/2006">
      <mc:Choice Requires="x14">
        <control shapeId="3107" r:id="rId43" name="Control 35">
          <controlPr defaultSize="0" r:id="rId11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257175</xdr:colOff>
                <xdr:row>13</xdr:row>
                <xdr:rowOff>76200</xdr:rowOff>
              </to>
            </anchor>
          </controlPr>
        </control>
      </mc:Choice>
      <mc:Fallback>
        <control shapeId="3107" r:id="rId43" name="Control 35"/>
      </mc:Fallback>
    </mc:AlternateContent>
    <mc:AlternateContent xmlns:mc="http://schemas.openxmlformats.org/markup-compatibility/2006">
      <mc:Choice Requires="x14">
        <control shapeId="3103" r:id="rId44" name="Control 31">
          <controlPr defaultSize="0" r:id="rId11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257175</xdr:colOff>
                <xdr:row>6</xdr:row>
                <xdr:rowOff>76200</xdr:rowOff>
              </to>
            </anchor>
          </controlPr>
        </control>
      </mc:Choice>
      <mc:Fallback>
        <control shapeId="3103" r:id="rId44" name="Control 31"/>
      </mc:Fallback>
    </mc:AlternateContent>
    <mc:AlternateContent xmlns:mc="http://schemas.openxmlformats.org/markup-compatibility/2006">
      <mc:Choice Requires="x14">
        <control shapeId="3099" r:id="rId45" name="Control 27">
          <controlPr defaultSize="0" r:id="rId11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257175</xdr:colOff>
                <xdr:row>13</xdr:row>
                <xdr:rowOff>266700</xdr:rowOff>
              </to>
            </anchor>
          </controlPr>
        </control>
      </mc:Choice>
      <mc:Fallback>
        <control shapeId="3099" r:id="rId45" name="Control 27"/>
      </mc:Fallback>
    </mc:AlternateContent>
    <mc:AlternateContent xmlns:mc="http://schemas.openxmlformats.org/markup-compatibility/2006">
      <mc:Choice Requires="x14">
        <control shapeId="3095" r:id="rId46" name="Control 23">
          <controlPr defaultSize="0" r:id="rId11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257175</xdr:colOff>
                <xdr:row>10</xdr:row>
                <xdr:rowOff>266700</xdr:rowOff>
              </to>
            </anchor>
          </controlPr>
        </control>
      </mc:Choice>
      <mc:Fallback>
        <control shapeId="3095" r:id="rId46" name="Control 23"/>
      </mc:Fallback>
    </mc:AlternateContent>
    <mc:AlternateContent xmlns:mc="http://schemas.openxmlformats.org/markup-compatibility/2006">
      <mc:Choice Requires="x14">
        <control shapeId="3091" r:id="rId47" name="Control 19">
          <controlPr defaultSize="0" r:id="rId11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257175</xdr:colOff>
                <xdr:row>10</xdr:row>
                <xdr:rowOff>76200</xdr:rowOff>
              </to>
            </anchor>
          </controlPr>
        </control>
      </mc:Choice>
      <mc:Fallback>
        <control shapeId="3091" r:id="rId47" name="Control 19"/>
      </mc:Fallback>
    </mc:AlternateContent>
    <mc:AlternateContent xmlns:mc="http://schemas.openxmlformats.org/markup-compatibility/2006">
      <mc:Choice Requires="x14">
        <control shapeId="3087" r:id="rId48" name="Control 15">
          <controlPr defaultSize="0" r:id="rId11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257175</xdr:colOff>
                <xdr:row>21</xdr:row>
                <xdr:rowOff>76200</xdr:rowOff>
              </to>
            </anchor>
          </controlPr>
        </control>
      </mc:Choice>
      <mc:Fallback>
        <control shapeId="3087" r:id="rId48" name="Control 15"/>
      </mc:Fallback>
    </mc:AlternateContent>
    <mc:AlternateContent xmlns:mc="http://schemas.openxmlformats.org/markup-compatibility/2006">
      <mc:Choice Requires="x14">
        <control shapeId="3083" r:id="rId49" name="Control 11">
          <controlPr defaultSize="0" r:id="rId11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257175</xdr:colOff>
                <xdr:row>19</xdr:row>
                <xdr:rowOff>76200</xdr:rowOff>
              </to>
            </anchor>
          </controlPr>
        </control>
      </mc:Choice>
      <mc:Fallback>
        <control shapeId="3083" r:id="rId49" name="Control 11"/>
      </mc:Fallback>
    </mc:AlternateContent>
    <mc:AlternateContent xmlns:mc="http://schemas.openxmlformats.org/markup-compatibility/2006">
      <mc:Choice Requires="x14">
        <control shapeId="3079" r:id="rId50" name="Control 7">
          <controlPr defaultSize="0" r:id="rId11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257175</xdr:colOff>
                <xdr:row>2</xdr:row>
                <xdr:rowOff>76200</xdr:rowOff>
              </to>
            </anchor>
          </controlPr>
        </control>
      </mc:Choice>
      <mc:Fallback>
        <control shapeId="3079" r:id="rId50" name="Control 7"/>
      </mc:Fallback>
    </mc:AlternateContent>
    <mc:AlternateContent xmlns:mc="http://schemas.openxmlformats.org/markup-compatibility/2006">
      <mc:Choice Requires="x14">
        <control shapeId="3075" r:id="rId51" name="Control 3">
          <controlPr defaultSize="0" r:id="rId11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76200</xdr:rowOff>
              </to>
            </anchor>
          </controlPr>
        </control>
      </mc:Choice>
      <mc:Fallback>
        <control shapeId="3075" r:id="rId51" name="Control 3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B06AD-FD1E-406B-9BE2-2F7E10364243}">
  <dimension ref="A1:C55"/>
  <sheetViews>
    <sheetView topLeftCell="A37" workbookViewId="0">
      <selection activeCell="C2" sqref="C1:C1048576"/>
    </sheetView>
  </sheetViews>
  <sheetFormatPr defaultRowHeight="15" x14ac:dyDescent="0.25"/>
  <cols>
    <col min="1" max="1" width="32.140625" style="9" customWidth="1"/>
    <col min="2" max="2" width="66.7109375" style="8" bestFit="1" customWidth="1"/>
    <col min="3" max="3" width="43.5703125" customWidth="1"/>
  </cols>
  <sheetData>
    <row r="1" spans="1:3" x14ac:dyDescent="0.25">
      <c r="A1" s="9" t="s">
        <v>221</v>
      </c>
      <c r="B1" s="8" t="s">
        <v>151</v>
      </c>
      <c r="C1" t="s">
        <v>227</v>
      </c>
    </row>
    <row r="2" spans="1:3" x14ac:dyDescent="0.25">
      <c r="A2" s="9" t="s">
        <v>220</v>
      </c>
      <c r="B2" s="8" t="s">
        <v>152</v>
      </c>
      <c r="C2" t="s">
        <v>228</v>
      </c>
    </row>
    <row r="3" spans="1:3" x14ac:dyDescent="0.25">
      <c r="A3" s="9" t="s">
        <v>222</v>
      </c>
      <c r="B3" s="8" t="s">
        <v>153</v>
      </c>
      <c r="C3" t="s">
        <v>229</v>
      </c>
    </row>
    <row r="4" spans="1:3" x14ac:dyDescent="0.25">
      <c r="A4" s="9" t="s">
        <v>140</v>
      </c>
      <c r="B4" s="8" t="s">
        <v>154</v>
      </c>
      <c r="C4" t="s">
        <v>230</v>
      </c>
    </row>
    <row r="5" spans="1:3" x14ac:dyDescent="0.25">
      <c r="A5" s="9" t="s">
        <v>133</v>
      </c>
      <c r="B5" s="8" t="s">
        <v>155</v>
      </c>
      <c r="C5" t="s">
        <v>231</v>
      </c>
    </row>
    <row r="6" spans="1:3" x14ac:dyDescent="0.25">
      <c r="A6" s="9" t="s">
        <v>215</v>
      </c>
      <c r="B6" s="8" t="s">
        <v>195</v>
      </c>
      <c r="C6" t="s">
        <v>232</v>
      </c>
    </row>
    <row r="7" spans="1:3" x14ac:dyDescent="0.25">
      <c r="A7" s="9" t="s">
        <v>219</v>
      </c>
      <c r="B7" s="8" t="s">
        <v>156</v>
      </c>
      <c r="C7" t="s">
        <v>233</v>
      </c>
    </row>
    <row r="8" spans="1:3" x14ac:dyDescent="0.25">
      <c r="A8" s="9" t="s">
        <v>140</v>
      </c>
      <c r="B8" s="8" t="s">
        <v>157</v>
      </c>
      <c r="C8" t="s">
        <v>234</v>
      </c>
    </row>
    <row r="9" spans="1:3" x14ac:dyDescent="0.25">
      <c r="A9" s="9" t="s">
        <v>141</v>
      </c>
      <c r="B9" s="8" t="s">
        <v>158</v>
      </c>
      <c r="C9" t="s">
        <v>235</v>
      </c>
    </row>
    <row r="10" spans="1:3" x14ac:dyDescent="0.25">
      <c r="A10" s="9" t="s">
        <v>142</v>
      </c>
      <c r="B10" s="8" t="s">
        <v>159</v>
      </c>
      <c r="C10" t="s">
        <v>236</v>
      </c>
    </row>
    <row r="11" spans="1:3" x14ac:dyDescent="0.25">
      <c r="A11" s="9" t="s">
        <v>143</v>
      </c>
      <c r="B11" s="8" t="s">
        <v>160</v>
      </c>
      <c r="C11" t="s">
        <v>237</v>
      </c>
    </row>
    <row r="12" spans="1:3" x14ac:dyDescent="0.25">
      <c r="A12" s="9" t="s">
        <v>121</v>
      </c>
      <c r="B12" s="8" t="s">
        <v>161</v>
      </c>
      <c r="C12" t="s">
        <v>238</v>
      </c>
    </row>
    <row r="13" spans="1:3" x14ac:dyDescent="0.25">
      <c r="A13" s="9" t="s">
        <v>123</v>
      </c>
      <c r="B13" s="8" t="s">
        <v>162</v>
      </c>
      <c r="C13" t="s">
        <v>239</v>
      </c>
    </row>
    <row r="14" spans="1:3" x14ac:dyDescent="0.25">
      <c r="A14" s="9" t="s">
        <v>124</v>
      </c>
      <c r="B14" s="8" t="s">
        <v>163</v>
      </c>
      <c r="C14" t="s">
        <v>240</v>
      </c>
    </row>
    <row r="15" spans="1:3" x14ac:dyDescent="0.25">
      <c r="A15" s="9" t="s">
        <v>125</v>
      </c>
      <c r="B15" s="8" t="s">
        <v>164</v>
      </c>
      <c r="C15" t="s">
        <v>241</v>
      </c>
    </row>
    <row r="16" spans="1:3" x14ac:dyDescent="0.25">
      <c r="A16" s="9" t="s">
        <v>126</v>
      </c>
      <c r="B16" s="8" t="s">
        <v>165</v>
      </c>
      <c r="C16" t="s">
        <v>242</v>
      </c>
    </row>
    <row r="17" spans="1:3" x14ac:dyDescent="0.25">
      <c r="A17" s="9" t="s">
        <v>127</v>
      </c>
      <c r="B17" s="8" t="s">
        <v>166</v>
      </c>
      <c r="C17" t="s">
        <v>243</v>
      </c>
    </row>
    <row r="18" spans="1:3" x14ac:dyDescent="0.25">
      <c r="A18" s="9" t="s">
        <v>128</v>
      </c>
      <c r="B18" s="8" t="s">
        <v>167</v>
      </c>
      <c r="C18" t="s">
        <v>244</v>
      </c>
    </row>
    <row r="19" spans="1:3" x14ac:dyDescent="0.25">
      <c r="A19" s="9" t="s">
        <v>122</v>
      </c>
      <c r="B19" s="8" t="s">
        <v>168</v>
      </c>
      <c r="C19" t="s">
        <v>245</v>
      </c>
    </row>
    <row r="20" spans="1:3" x14ac:dyDescent="0.25">
      <c r="A20" s="9" t="s">
        <v>146</v>
      </c>
      <c r="B20" s="8" t="s">
        <v>169</v>
      </c>
      <c r="C20" t="s">
        <v>246</v>
      </c>
    </row>
    <row r="21" spans="1:3" x14ac:dyDescent="0.25">
      <c r="A21" s="9" t="s">
        <v>147</v>
      </c>
      <c r="B21" s="8" t="s">
        <v>196</v>
      </c>
      <c r="C21" t="s">
        <v>247</v>
      </c>
    </row>
    <row r="22" spans="1:3" x14ac:dyDescent="0.25">
      <c r="A22" s="9" t="s">
        <v>148</v>
      </c>
      <c r="B22" s="8" t="s">
        <v>170</v>
      </c>
      <c r="C22" t="s">
        <v>248</v>
      </c>
    </row>
    <row r="23" spans="1:3" x14ac:dyDescent="0.25">
      <c r="A23" s="9" t="s">
        <v>138</v>
      </c>
      <c r="B23" s="8" t="s">
        <v>171</v>
      </c>
      <c r="C23" t="s">
        <v>249</v>
      </c>
    </row>
    <row r="24" spans="1:3" x14ac:dyDescent="0.25">
      <c r="A24" s="9" t="s">
        <v>139</v>
      </c>
      <c r="B24" s="8" t="s">
        <v>172</v>
      </c>
      <c r="C24" t="s">
        <v>250</v>
      </c>
    </row>
    <row r="25" spans="1:3" x14ac:dyDescent="0.25">
      <c r="A25" s="10" t="s">
        <v>106</v>
      </c>
      <c r="B25" s="8" t="s">
        <v>173</v>
      </c>
      <c r="C25" t="s">
        <v>251</v>
      </c>
    </row>
    <row r="26" spans="1:3" x14ac:dyDescent="0.25">
      <c r="A26" s="9" t="s">
        <v>137</v>
      </c>
      <c r="B26" s="8" t="s">
        <v>174</v>
      </c>
      <c r="C26" t="s">
        <v>252</v>
      </c>
    </row>
    <row r="27" spans="1:3" x14ac:dyDescent="0.25">
      <c r="A27" s="9" t="s">
        <v>129</v>
      </c>
      <c r="B27" s="8" t="s">
        <v>175</v>
      </c>
      <c r="C27" t="s">
        <v>253</v>
      </c>
    </row>
    <row r="28" spans="1:3" x14ac:dyDescent="0.25">
      <c r="A28" s="9" t="s">
        <v>130</v>
      </c>
      <c r="B28" s="8" t="s">
        <v>176</v>
      </c>
      <c r="C28" t="s">
        <v>254</v>
      </c>
    </row>
    <row r="29" spans="1:3" x14ac:dyDescent="0.25">
      <c r="A29" s="9" t="s">
        <v>131</v>
      </c>
      <c r="B29" s="8" t="s">
        <v>177</v>
      </c>
      <c r="C29" t="s">
        <v>255</v>
      </c>
    </row>
    <row r="30" spans="1:3" x14ac:dyDescent="0.25">
      <c r="A30" s="9" t="s">
        <v>145</v>
      </c>
      <c r="B30" s="8" t="s">
        <v>178</v>
      </c>
      <c r="C30" t="s">
        <v>256</v>
      </c>
    </row>
    <row r="31" spans="1:3" x14ac:dyDescent="0.25">
      <c r="A31" s="9" t="s">
        <v>144</v>
      </c>
      <c r="B31" s="8" t="s">
        <v>197</v>
      </c>
      <c r="C31" t="s">
        <v>257</v>
      </c>
    </row>
    <row r="32" spans="1:3" x14ac:dyDescent="0.25">
      <c r="A32" s="10" t="s">
        <v>108</v>
      </c>
      <c r="B32" s="8" t="s">
        <v>179</v>
      </c>
      <c r="C32" t="s">
        <v>258</v>
      </c>
    </row>
    <row r="33" spans="1:3" x14ac:dyDescent="0.25">
      <c r="A33" s="9" t="s">
        <v>114</v>
      </c>
      <c r="B33" s="8" t="s">
        <v>180</v>
      </c>
      <c r="C33" t="s">
        <v>259</v>
      </c>
    </row>
    <row r="34" spans="1:3" x14ac:dyDescent="0.25">
      <c r="A34" s="10" t="s">
        <v>110</v>
      </c>
      <c r="B34" s="8" t="s">
        <v>181</v>
      </c>
      <c r="C34" t="s">
        <v>260</v>
      </c>
    </row>
    <row r="35" spans="1:3" x14ac:dyDescent="0.25">
      <c r="A35" s="9" t="s">
        <v>112</v>
      </c>
      <c r="B35" s="8" t="s">
        <v>182</v>
      </c>
      <c r="C35" t="s">
        <v>261</v>
      </c>
    </row>
    <row r="36" spans="1:3" x14ac:dyDescent="0.25">
      <c r="A36" s="9" t="s">
        <v>113</v>
      </c>
      <c r="B36" s="8" t="s">
        <v>183</v>
      </c>
      <c r="C36" t="s">
        <v>262</v>
      </c>
    </row>
    <row r="37" spans="1:3" x14ac:dyDescent="0.25">
      <c r="A37" s="10" t="s">
        <v>109</v>
      </c>
      <c r="B37" s="8" t="s">
        <v>184</v>
      </c>
      <c r="C37" t="s">
        <v>263</v>
      </c>
    </row>
    <row r="38" spans="1:3" x14ac:dyDescent="0.25">
      <c r="A38" s="9" t="s">
        <v>115</v>
      </c>
      <c r="B38" s="8" t="s">
        <v>185</v>
      </c>
      <c r="C38" t="s">
        <v>264</v>
      </c>
    </row>
    <row r="39" spans="1:3" x14ac:dyDescent="0.25">
      <c r="A39" s="9" t="s">
        <v>116</v>
      </c>
      <c r="B39" s="8" t="s">
        <v>186</v>
      </c>
      <c r="C39" t="s">
        <v>265</v>
      </c>
    </row>
    <row r="40" spans="1:3" x14ac:dyDescent="0.25">
      <c r="A40" s="9" t="s">
        <v>117</v>
      </c>
      <c r="B40" s="8" t="s">
        <v>187</v>
      </c>
      <c r="C40" t="s">
        <v>266</v>
      </c>
    </row>
    <row r="41" spans="1:3" x14ac:dyDescent="0.25">
      <c r="A41" s="9" t="s">
        <v>118</v>
      </c>
      <c r="B41" s="8" t="s">
        <v>188</v>
      </c>
      <c r="C41" t="s">
        <v>267</v>
      </c>
    </row>
    <row r="42" spans="1:3" x14ac:dyDescent="0.25">
      <c r="A42" s="9" t="s">
        <v>111</v>
      </c>
      <c r="B42" s="8" t="s">
        <v>189</v>
      </c>
      <c r="C42" t="s">
        <v>268</v>
      </c>
    </row>
    <row r="43" spans="1:3" x14ac:dyDescent="0.25">
      <c r="A43" s="9" t="s">
        <v>119</v>
      </c>
      <c r="B43" s="8" t="s">
        <v>216</v>
      </c>
      <c r="C43" t="s">
        <v>269</v>
      </c>
    </row>
    <row r="44" spans="1:3" x14ac:dyDescent="0.25">
      <c r="A44" s="9" t="s">
        <v>120</v>
      </c>
      <c r="B44" s="8" t="s">
        <v>190</v>
      </c>
      <c r="C44" t="s">
        <v>270</v>
      </c>
    </row>
    <row r="45" spans="1:3" x14ac:dyDescent="0.25">
      <c r="A45" s="9" t="s">
        <v>134</v>
      </c>
      <c r="B45" s="8" t="s">
        <v>191</v>
      </c>
      <c r="C45" t="s">
        <v>271</v>
      </c>
    </row>
    <row r="46" spans="1:3" x14ac:dyDescent="0.25">
      <c r="A46" s="9" t="s">
        <v>135</v>
      </c>
      <c r="B46" s="8" t="s">
        <v>192</v>
      </c>
      <c r="C46" t="s">
        <v>272</v>
      </c>
    </row>
    <row r="47" spans="1:3" x14ac:dyDescent="0.25">
      <c r="A47" s="9" t="s">
        <v>136</v>
      </c>
      <c r="B47" s="8" t="s">
        <v>193</v>
      </c>
      <c r="C47" t="s">
        <v>273</v>
      </c>
    </row>
    <row r="48" spans="1:3" x14ac:dyDescent="0.25">
      <c r="A48" s="9" t="s">
        <v>133</v>
      </c>
      <c r="B48" s="8" t="s">
        <v>194</v>
      </c>
      <c r="C48" t="s">
        <v>274</v>
      </c>
    </row>
    <row r="49" spans="1:3" x14ac:dyDescent="0.25">
      <c r="A49" s="9" t="s">
        <v>217</v>
      </c>
      <c r="B49" s="8" t="s">
        <v>198</v>
      </c>
      <c r="C49" t="s">
        <v>275</v>
      </c>
    </row>
    <row r="50" spans="1:3" x14ac:dyDescent="0.25">
      <c r="A50" s="9" t="s">
        <v>218</v>
      </c>
      <c r="B50" s="8" t="s">
        <v>199</v>
      </c>
      <c r="C50" t="s">
        <v>276</v>
      </c>
    </row>
    <row r="51" spans="1:3" x14ac:dyDescent="0.25">
      <c r="A51" s="9" t="s">
        <v>205</v>
      </c>
      <c r="B51" s="8" t="s">
        <v>200</v>
      </c>
      <c r="C51" t="s">
        <v>277</v>
      </c>
    </row>
    <row r="52" spans="1:3" x14ac:dyDescent="0.25">
      <c r="A52" s="9" t="s">
        <v>206</v>
      </c>
      <c r="B52" s="8" t="s">
        <v>201</v>
      </c>
      <c r="C52" t="s">
        <v>278</v>
      </c>
    </row>
    <row r="53" spans="1:3" x14ac:dyDescent="0.25">
      <c r="A53" s="9" t="s">
        <v>209</v>
      </c>
      <c r="B53" s="8" t="s">
        <v>202</v>
      </c>
      <c r="C53" t="s">
        <v>279</v>
      </c>
    </row>
    <row r="54" spans="1:3" x14ac:dyDescent="0.25">
      <c r="A54" s="9" t="s">
        <v>208</v>
      </c>
      <c r="B54" s="8" t="s">
        <v>203</v>
      </c>
      <c r="C54" t="s">
        <v>280</v>
      </c>
    </row>
    <row r="55" spans="1:3" x14ac:dyDescent="0.25">
      <c r="A55" s="9" t="s">
        <v>207</v>
      </c>
      <c r="B55" s="8" t="s">
        <v>204</v>
      </c>
      <c r="C55" t="s">
        <v>281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Botamedi</dc:creator>
  <cp:lastModifiedBy>Marcelo Botamedi</cp:lastModifiedBy>
  <dcterms:created xsi:type="dcterms:W3CDTF">2025-03-09T01:51:47Z</dcterms:created>
  <dcterms:modified xsi:type="dcterms:W3CDTF">2025-03-10T20:32:37Z</dcterms:modified>
</cp:coreProperties>
</file>